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01C69649-24C8-4A83-848E-BBDAA8A0581E}" xr6:coauthVersionLast="47" xr6:coauthVersionMax="47" xr10:uidLastSave="{00000000-0000-0000-0000-000000000000}"/>
  <bookViews>
    <workbookView xWindow="-108" yWindow="-108" windowWidth="23256" windowHeight="12456" firstSheet="4" activeTab="4" xr2:uid="{E225DF4D-F02C-49E5-AE61-1ED4C66F4D2A}"/>
  </bookViews>
  <sheets>
    <sheet name="FLOW" sheetId="3" r:id="rId1"/>
    <sheet name="NOTE" sheetId="4" state="hidden" r:id="rId2"/>
    <sheet name="Metode" sheetId="5" state="hidden" r:id="rId3"/>
    <sheet name="Chart of Account" sheetId="1" state="hidden" r:id="rId4"/>
    <sheet name="A0PS ASET MANAGEMENT" sheetId="6" r:id="rId5"/>
    <sheet name="Sheet1" sheetId="8" r:id="rId6"/>
    <sheet name="List Kategori"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6" i="6" l="1"/>
  <c r="K46" i="6"/>
  <c r="Q45" i="6"/>
  <c r="K45" i="6"/>
  <c r="Q44" i="6"/>
  <c r="K44" i="6"/>
  <c r="Q43" i="6"/>
  <c r="K43" i="6"/>
  <c r="Q42" i="6"/>
  <c r="K42" i="6"/>
  <c r="Q41" i="6"/>
  <c r="K41" i="6"/>
  <c r="Q40" i="6"/>
  <c r="K40" i="6"/>
  <c r="Q39" i="6"/>
  <c r="K39" i="6"/>
  <c r="Q38" i="6"/>
  <c r="K38" i="6"/>
  <c r="K13" i="6"/>
  <c r="P13" i="6" s="1"/>
  <c r="K12" i="6"/>
  <c r="P12" i="6" s="1"/>
  <c r="K11" i="6"/>
  <c r="P11" i="6" s="1"/>
  <c r="K10" i="6"/>
  <c r="P10" i="6" s="1"/>
  <c r="K4" i="6"/>
  <c r="P4" i="6" s="1"/>
  <c r="Q4" i="6" s="1"/>
  <c r="R4" i="6" s="1"/>
  <c r="S4" i="6" s="1"/>
  <c r="Q37" i="6"/>
  <c r="K37" i="6"/>
  <c r="L37" i="6" s="1"/>
  <c r="Q36" i="6"/>
  <c r="K36" i="6"/>
  <c r="P36" i="6" s="1"/>
  <c r="Q35" i="6"/>
  <c r="K35" i="6"/>
  <c r="L35" i="6" s="1"/>
  <c r="Q34" i="6"/>
  <c r="K34" i="6"/>
  <c r="L34" i="6" s="1"/>
  <c r="Q33" i="6"/>
  <c r="K33" i="6"/>
  <c r="P33" i="6" s="1"/>
  <c r="Q32" i="6"/>
  <c r="K32" i="6"/>
  <c r="P32" i="6" s="1"/>
  <c r="Q31" i="6"/>
  <c r="K31" i="6"/>
  <c r="L31" i="6" s="1"/>
  <c r="Q30" i="6"/>
  <c r="K30" i="6"/>
  <c r="L30" i="6" s="1"/>
  <c r="Q29" i="6"/>
  <c r="K29" i="6"/>
  <c r="L29" i="6" s="1"/>
  <c r="Q28" i="6"/>
  <c r="K28" i="6"/>
  <c r="P28" i="6" s="1"/>
  <c r="Q27" i="6"/>
  <c r="K27" i="6"/>
  <c r="P27" i="6" s="1"/>
  <c r="Q26" i="6"/>
  <c r="K26" i="6"/>
  <c r="P26" i="6" s="1"/>
  <c r="Q25" i="6"/>
  <c r="K25" i="6"/>
  <c r="L25" i="6" s="1"/>
  <c r="Q24" i="6"/>
  <c r="K24" i="6"/>
  <c r="P24" i="6" s="1"/>
  <c r="Q23" i="6"/>
  <c r="K23" i="6"/>
  <c r="L23" i="6" s="1"/>
  <c r="Q22" i="6"/>
  <c r="K22" i="6"/>
  <c r="L22" i="6" s="1"/>
  <c r="Q21" i="6"/>
  <c r="K21" i="6"/>
  <c r="L21" i="6" s="1"/>
  <c r="Q20" i="6"/>
  <c r="K20" i="6"/>
  <c r="L20" i="6" s="1"/>
  <c r="Q19" i="6"/>
  <c r="K19" i="6"/>
  <c r="P19" i="6" s="1"/>
  <c r="Q18" i="6"/>
  <c r="K18" i="6"/>
  <c r="P18" i="6" s="1"/>
  <c r="Q17" i="6"/>
  <c r="K17" i="6"/>
  <c r="P17" i="6" s="1"/>
  <c r="L44" i="6" l="1"/>
  <c r="P44" i="6"/>
  <c r="P46" i="6"/>
  <c r="L46" i="6"/>
  <c r="P45" i="6"/>
  <c r="L45" i="6"/>
  <c r="P43" i="6"/>
  <c r="L43" i="6"/>
  <c r="P42" i="6"/>
  <c r="L42" i="6"/>
  <c r="P41" i="6"/>
  <c r="L41" i="6"/>
  <c r="P40" i="6"/>
  <c r="L40" i="6"/>
  <c r="P39" i="6"/>
  <c r="L39" i="6"/>
  <c r="P38" i="6"/>
  <c r="L38" i="6"/>
  <c r="L10" i="6"/>
  <c r="L13" i="6"/>
  <c r="L11" i="6"/>
  <c r="L12" i="6"/>
  <c r="P29" i="6"/>
  <c r="P20" i="6"/>
  <c r="L4" i="6"/>
  <c r="M4" i="6" s="1"/>
  <c r="N4" i="6" s="1"/>
  <c r="P23" i="6"/>
  <c r="L36" i="6"/>
  <c r="P21" i="6"/>
  <c r="P30" i="6"/>
  <c r="L28" i="6"/>
  <c r="P37" i="6"/>
  <c r="P22" i="6"/>
  <c r="P31" i="6"/>
  <c r="L27" i="6"/>
  <c r="L18" i="6"/>
  <c r="L26" i="6"/>
  <c r="L17" i="6"/>
  <c r="L33" i="6"/>
  <c r="P35" i="6"/>
  <c r="P34" i="6"/>
  <c r="L19" i="6"/>
  <c r="L32" i="6"/>
  <c r="P25" i="6"/>
  <c r="L24" i="6"/>
  <c r="K15" i="6"/>
  <c r="L15" i="6" s="1"/>
  <c r="K5" i="6"/>
  <c r="P5" i="6" s="1"/>
  <c r="Q5" i="6" s="1"/>
  <c r="R5" i="6" s="1"/>
  <c r="K8" i="6"/>
  <c r="P8" i="6" s="1"/>
  <c r="K9" i="6"/>
  <c r="P9" i="6" s="1"/>
  <c r="K14" i="6"/>
  <c r="L14" i="6" s="1"/>
  <c r="K16" i="6"/>
  <c r="P16" i="6" s="1"/>
  <c r="L16" i="6" l="1"/>
  <c r="L8" i="6"/>
  <c r="L5" i="6"/>
  <c r="M5" i="6" s="1"/>
  <c r="N5" i="6" s="1"/>
  <c r="P15" i="6"/>
  <c r="L9" i="6"/>
  <c r="S5" i="6"/>
  <c r="Q8" i="6" s="1"/>
  <c r="R8" i="6" s="1"/>
  <c r="P14" i="6"/>
  <c r="M8" i="6" l="1"/>
  <c r="N8" i="6" s="1"/>
  <c r="S8" i="6"/>
  <c r="Q9" i="6" s="1"/>
  <c r="R9" i="6" s="1"/>
  <c r="M9" i="6" l="1"/>
  <c r="S9" i="6"/>
  <c r="Q14" i="6" l="1"/>
  <c r="R14" i="6" s="1"/>
  <c r="S14" i="6" s="1"/>
  <c r="Q15" i="6" s="1"/>
  <c r="R15" i="6" s="1"/>
  <c r="Q10" i="6"/>
  <c r="R10" i="6" s="1"/>
  <c r="S10" i="6" s="1"/>
  <c r="Q11" i="6" s="1"/>
  <c r="R11" i="6" s="1"/>
  <c r="N9" i="6"/>
  <c r="M10" i="6"/>
  <c r="M14" i="6"/>
  <c r="M15" i="6" l="1"/>
  <c r="N14" i="6"/>
  <c r="M11" i="6"/>
  <c r="N10" i="6"/>
  <c r="S11" i="6"/>
  <c r="Q12" i="6" s="1"/>
  <c r="R12" i="6"/>
  <c r="S12" i="6" s="1"/>
  <c r="Q13" i="6" s="1"/>
  <c r="R13" i="6" s="1"/>
  <c r="S13" i="6" s="1"/>
  <c r="S15" i="6"/>
  <c r="Q16" i="6" s="1"/>
  <c r="R16" i="6" s="1"/>
  <c r="R17" i="6" s="1"/>
  <c r="R18" i="6" s="1"/>
  <c r="R19" i="6" s="1"/>
  <c r="R20" i="6" s="1"/>
  <c r="R21" i="6" s="1"/>
  <c r="R22" i="6" s="1"/>
  <c r="R23" i="6" s="1"/>
  <c r="R24" i="6" s="1"/>
  <c r="R25" i="6" s="1"/>
  <c r="R26" i="6" s="1"/>
  <c r="R27" i="6" s="1"/>
  <c r="R28" i="6" s="1"/>
  <c r="R29" i="6" s="1"/>
  <c r="R30" i="6" s="1"/>
  <c r="R31" i="6" s="1"/>
  <c r="R32" i="6" s="1"/>
  <c r="R33" i="6" s="1"/>
  <c r="R34" i="6" s="1"/>
  <c r="R35" i="6" s="1"/>
  <c r="R36" i="6" s="1"/>
  <c r="R37" i="6" s="1"/>
  <c r="R38" i="6" s="1"/>
  <c r="R39" i="6" s="1"/>
  <c r="R40" i="6" s="1"/>
  <c r="R41" i="6" s="1"/>
  <c r="R42" i="6" s="1"/>
  <c r="R43" i="6" s="1"/>
  <c r="R44" i="6" s="1"/>
  <c r="R45" i="6" s="1"/>
  <c r="R46" i="6" s="1"/>
  <c r="N15" i="6" l="1"/>
  <c r="M16" i="6"/>
  <c r="M12" i="6"/>
  <c r="N11" i="6"/>
  <c r="N16" i="6" l="1"/>
  <c r="M17" i="6"/>
  <c r="M13" i="6"/>
  <c r="N13" i="6" s="1"/>
  <c r="N12" i="6"/>
  <c r="N17" i="6" l="1"/>
  <c r="M18" i="6"/>
  <c r="N18" i="6" s="1"/>
  <c r="M19" i="6"/>
  <c r="M20" i="6" l="1"/>
  <c r="N19" i="6"/>
  <c r="N20" i="6" l="1"/>
  <c r="M21" i="6"/>
  <c r="M22" i="6" l="1"/>
  <c r="N21" i="6"/>
  <c r="N22" i="6" l="1"/>
  <c r="M23" i="6"/>
  <c r="N23" i="6" l="1"/>
  <c r="M24" i="6"/>
  <c r="N24" i="6" l="1"/>
  <c r="M25" i="6"/>
  <c r="M26" i="6" l="1"/>
  <c r="N25" i="6"/>
  <c r="N26" i="6" l="1"/>
  <c r="M27" i="6"/>
  <c r="N27" i="6" l="1"/>
  <c r="M28" i="6"/>
  <c r="N28" i="6" l="1"/>
  <c r="M29" i="6"/>
  <c r="M30" i="6" l="1"/>
  <c r="N29" i="6"/>
  <c r="M31" i="6" l="1"/>
  <c r="N30" i="6"/>
  <c r="N31" i="6" l="1"/>
  <c r="M32" i="6"/>
  <c r="N32" i="6" l="1"/>
  <c r="M33" i="6"/>
  <c r="M34" i="6" l="1"/>
  <c r="N33" i="6"/>
  <c r="N34" i="6" l="1"/>
  <c r="M35" i="6"/>
  <c r="M36" i="6" l="1"/>
  <c r="N35" i="6"/>
  <c r="N36" i="6" l="1"/>
  <c r="M37" i="6"/>
  <c r="N37" i="6" l="1"/>
  <c r="M38" i="6"/>
  <c r="M39" i="6" l="1"/>
  <c r="N38" i="6"/>
  <c r="M40" i="6" l="1"/>
  <c r="N39" i="6"/>
  <c r="M41" i="6" l="1"/>
  <c r="N40" i="6"/>
  <c r="N41" i="6" l="1"/>
  <c r="M42" i="6" l="1"/>
  <c r="M43" i="6" l="1"/>
  <c r="N42" i="6"/>
  <c r="M44" i="6" l="1"/>
  <c r="N43" i="6"/>
  <c r="N44" i="6" l="1"/>
  <c r="M45" i="6"/>
  <c r="M46" i="6" l="1"/>
  <c r="N46" i="6" s="1"/>
  <c r="N45"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<sst xmlns="http://schemas.openxmlformats.org/spreadsheetml/2006/main" count="1106" uniqueCount="482">
  <si>
    <t>CoA dapat disesuaikan dengan kebutuhan setiap perusahaan.</t>
  </si>
  <si>
    <t>Chart of Account berfungsi untuk menampilkan laporan keuangan yang dibutuhkan, mulai dari neraca, laporan laba-rugi, hingga laporan dari akun lainnya (modal, beban, dan utang).</t>
  </si>
  <si>
    <t>Secara umum, Chart of Account terbagi dalam 5 komponen utama:</t>
  </si>
  <si>
    <t>Kas</t>
  </si>
  <si>
    <t>Bank</t>
  </si>
  <si>
    <t>Piutang</t>
  </si>
  <si>
    <t>Persediaan</t>
  </si>
  <si>
    <t>Aktiva Tetap</t>
  </si>
  <si>
    <t>Aktiva Lainnya</t>
  </si>
  <si>
    <t>1. Aktiva (Kepala 1)</t>
  </si>
  <si>
    <t>Hutang Lancar</t>
  </si>
  <si>
    <t>Hutang Bank</t>
  </si>
  <si>
    <t>Hutang Lainnya</t>
  </si>
  <si>
    <t>Hutang Jangka Panjang</t>
  </si>
  <si>
    <t>2. Hutang (Kepala 2)</t>
  </si>
  <si>
    <t>3. Modal (Kepala 3)</t>
  </si>
  <si>
    <t>Modal</t>
  </si>
  <si>
    <t>Prive</t>
  </si>
  <si>
    <t>Laba Ditahan</t>
  </si>
  <si>
    <t>4. Pendapatan</t>
  </si>
  <si>
    <t>Pendapatan Usaha</t>
  </si>
  <si>
    <t>Pendapatan Diluar Usaha</t>
  </si>
  <si>
    <t>5. Biaya</t>
  </si>
  <si>
    <t>Biaya Gaji</t>
  </si>
  <si>
    <t>Biaya Sewa</t>
  </si>
  <si>
    <t>dst</t>
  </si>
  <si>
    <t>A. CHART OF ACCOUNT</t>
  </si>
  <si>
    <t>Chart of Account atau CoA adalah daftar semua kode akun yang sudah disusun secara sistematis dan teratur sehingga dapat disajikan dengan angka yang memungkinkan akun tersebut dapat ditempatkan ke dalam buku besar umum. </t>
  </si>
  <si>
    <t>I. INVENTORY</t>
  </si>
  <si>
    <t>CoA</t>
  </si>
  <si>
    <t>130.00.001</t>
  </si>
  <si>
    <t>Persediaan Alat Tulis Kantor</t>
  </si>
  <si>
    <t>130.00.002</t>
  </si>
  <si>
    <t>Persediaan Barang Dagang</t>
  </si>
  <si>
    <t>Nama Inventory</t>
  </si>
  <si>
    <t>Remark</t>
  </si>
  <si>
    <t>Jika merupakan perusahaan dagang</t>
  </si>
  <si>
    <t>Definisi Inventory: kumpulan barang atau komoditas yang dimiliki atau dikelola oleh suatu entitas pada suatu titik waktu tertentu. Barang-barang ini seringkali adalah barang yang bergerak atau dapat dengan mudah dipindahkan. Inventaris dapat mencakup barang-barang seperti persediaan barang dagangan, bahan baku, dan barang jadi. Pengelolaan inventaris melibatkan pemantauan stok, pengadaan, dan pengeluaran barang untuk memastikan ketersediaan dan efisiensi operasional. Inventory biasanya akan habis kurang dari 1 tahun.</t>
  </si>
  <si>
    <t>130.00.003</t>
  </si>
  <si>
    <t>Persediaan Mekanik</t>
  </si>
  <si>
    <t>Buku, kalkulator, tinta, kertas, dst</t>
  </si>
  <si>
    <t>130.00.004</t>
  </si>
  <si>
    <t>Persediaan Bahan Bakar</t>
  </si>
  <si>
    <t>Gas, Solar industri, pertalite</t>
  </si>
  <si>
    <t>130.00.005</t>
  </si>
  <si>
    <t>Persediaan Chemical</t>
  </si>
  <si>
    <t>bahan kimia, pembersih lantai, cat</t>
  </si>
  <si>
    <t>Persediaan Barang Mentah</t>
  </si>
  <si>
    <t>Persediaan Barang Jadi</t>
  </si>
  <si>
    <t>Persediaan Barang Dalam Proses</t>
  </si>
  <si>
    <t>Jika merupakan perusahaan manufaktur</t>
  </si>
  <si>
    <t>130.00.006</t>
  </si>
  <si>
    <t>130.00.007</t>
  </si>
  <si>
    <t>130.00.008</t>
  </si>
  <si>
    <t>130.00.009</t>
  </si>
  <si>
    <t>Persediaan Lainnya</t>
  </si>
  <si>
    <t>Persediaan yang tidak termasuk COA diatas</t>
  </si>
  <si>
    <t>Lampu, freon, kayu, besi, baterai</t>
  </si>
  <si>
    <t>Persediaan Seragam</t>
  </si>
  <si>
    <t>Uniform perusahaan</t>
  </si>
  <si>
    <t>B. Chart of Account untuk Inventory dan Aset/Aktiva Tetap</t>
  </si>
  <si>
    <t>130.00.010</t>
  </si>
  <si>
    <t>II. ASET / AKTIVA TETAP</t>
  </si>
  <si>
    <t>Definsi: aset jangka panjang yang digunakan oleh perusahaan dalam kegiatan operasionalnya, tidak dimaksudkan untuk dijual, dan memiliki masa manfaat lebih dari satu tahun</t>
  </si>
  <si>
    <t>140.00.001</t>
  </si>
  <si>
    <t>Tanah</t>
  </si>
  <si>
    <t>140.00.002</t>
  </si>
  <si>
    <t>Bangunan</t>
  </si>
  <si>
    <t>140.00.003</t>
  </si>
  <si>
    <t>Kendaraan</t>
  </si>
  <si>
    <t>140.00.004</t>
  </si>
  <si>
    <t>Furniture</t>
  </si>
  <si>
    <t>140.00.005</t>
  </si>
  <si>
    <t>Mesin</t>
  </si>
  <si>
    <t>140.00.006</t>
  </si>
  <si>
    <t>Mobil, Motor, Truk</t>
  </si>
  <si>
    <t>Lemari, Rak, Meja</t>
  </si>
  <si>
    <t>Mesin Produksi, Vaccum, Genset, dst</t>
  </si>
  <si>
    <t>Komputer, Printer, Scanner, AC</t>
  </si>
  <si>
    <t>Peralatan Kantor</t>
  </si>
  <si>
    <t>Tahun Perolehan</t>
  </si>
  <si>
    <t xml:space="preserve">Harga Perolehan </t>
  </si>
  <si>
    <t>Nama Aset</t>
  </si>
  <si>
    <t>Akumulasi Depresiasi</t>
  </si>
  <si>
    <t>Current Value</t>
  </si>
  <si>
    <t>Umur Aktiva (Tahun)</t>
  </si>
  <si>
    <t>Depresiasi Garis Lurus/Th</t>
  </si>
  <si>
    <t>Tarif Depresiasi Garis Lurus</t>
  </si>
  <si>
    <t>Tarif Depresiasi Saldo Menurun</t>
  </si>
  <si>
    <t>Depresiasi Saldo Menurun</t>
  </si>
  <si>
    <t>Tujuan: Membantu pencatatan, pelacakan, dan pelaporan aset tetap dan persediaan barang dengan akurat</t>
  </si>
  <si>
    <t>ASET</t>
  </si>
  <si>
    <t>Kode Aset</t>
  </si>
  <si>
    <t>Kategori</t>
  </si>
  <si>
    <t>Lokasi</t>
  </si>
  <si>
    <t>Tanggal Perolehan</t>
  </si>
  <si>
    <t>Harga Perolehan</t>
  </si>
  <si>
    <t>Umur Ekonomis (tahun)</t>
  </si>
  <si>
    <t>Nilai Buku Saat Ini</t>
  </si>
  <si>
    <t>Status</t>
  </si>
  <si>
    <t>AST001</t>
  </si>
  <si>
    <t>Laptop Lenovo</t>
  </si>
  <si>
    <t>Elektronik</t>
  </si>
  <si>
    <t>Kantor Pusat</t>
  </si>
  <si>
    <t>2023-01-10</t>
  </si>
  <si>
    <t>Aktif</t>
  </si>
  <si>
    <t>AST002</t>
  </si>
  <si>
    <t>Printer HP</t>
  </si>
  <si>
    <t>Gudang</t>
  </si>
  <si>
    <t>2022-06-15</t>
  </si>
  <si>
    <t>AST003</t>
  </si>
  <si>
    <t>AC Panasonic</t>
  </si>
  <si>
    <t>Ruang Meeting</t>
  </si>
  <si>
    <t>2021-09-01</t>
  </si>
  <si>
    <t>Rusak</t>
  </si>
  <si>
    <t>Kode Barang</t>
  </si>
  <si>
    <t>Nama Barang</t>
  </si>
  <si>
    <t>Satuan</t>
  </si>
  <si>
    <t>Stok Awal</t>
  </si>
  <si>
    <t>Barang Masuk</t>
  </si>
  <si>
    <t>Barang Keluar</t>
  </si>
  <si>
    <t>Stok Akhir</t>
  </si>
  <si>
    <t>INV001</t>
  </si>
  <si>
    <t>Kertas A4</t>
  </si>
  <si>
    <t>ATK</t>
  </si>
  <si>
    <t>Rim</t>
  </si>
  <si>
    <t>INV002</t>
  </si>
  <si>
    <t>Tinta Printer</t>
  </si>
  <si>
    <t>Botol</t>
  </si>
  <si>
    <t>INV003</t>
  </si>
  <si>
    <t>Sabun Lantai</t>
  </si>
  <si>
    <t>Housekeeping</t>
  </si>
  <si>
    <t>Liter</t>
  </si>
  <si>
    <t>INVENTORY</t>
  </si>
  <si>
    <t>Laporan yang Dibutuhkan:</t>
  </si>
  <si>
    <t>1. Laporan Aset</t>
  </si>
  <si>
    <t>2. Perhitungan Penyusutan</t>
  </si>
  <si>
    <t>3. Laporan Barang Masuk</t>
  </si>
  <si>
    <t>4. Laporan Barang Keluar</t>
  </si>
  <si>
    <t>5. Stock Card</t>
  </si>
  <si>
    <t>A. PENGADAAN</t>
  </si>
  <si>
    <t>1. User membuat Purchase Request (PR)</t>
  </si>
  <si>
    <t>2. Atasan &amp; procurement menyetujui</t>
  </si>
  <si>
    <t>3. Procurement melakukan pembelian (PO)</t>
  </si>
  <si>
    <t>4. Barang datang dan diterima receiving</t>
  </si>
  <si>
    <t>B. PENERIMAAN BARANG</t>
  </si>
  <si>
    <t>1. Receiving mencocokkan PO dan faktur kemudian mengirim barang ke gudang</t>
  </si>
  <si>
    <t>2. Gudang menerima barang dan menginput ke sistem/spreadsheet</t>
  </si>
  <si>
    <t>C. DISTRIBUSI DAN PENGGUNAAN</t>
  </si>
  <si>
    <t>1. User/Departemen mengajukan permintaan barang (Store Requisition)</t>
  </si>
  <si>
    <t>2. Gudang mengeluarkan barang, dan melakukan input sistem</t>
  </si>
  <si>
    <t>D. PENCATATAN &amp; PELACAKAN</t>
  </si>
  <si>
    <t>2. Inventory dicatat dalam Kartu Stok per item dengan contoh format berikut:</t>
  </si>
  <si>
    <t>1. Aset dicatat dalam Laporan Aset dengan contoh format berikut</t>
  </si>
  <si>
    <t>1. Wajib dilakukan bulanan</t>
  </si>
  <si>
    <t>E. STOCK OPNAME</t>
  </si>
  <si>
    <t>2. Hasil perhitungan fisik dicocokkan dengan saldo sistem/spreadsheet</t>
  </si>
  <si>
    <t>3. Selisih harus dibuatkan berita acara dan ditindaklanjuti</t>
  </si>
  <si>
    <t>1. Aset dicek berkala</t>
  </si>
  <si>
    <t>2. Jika rusak, dibuatkan form kerusakan barang</t>
  </si>
  <si>
    <t>3. Jika berpindah, dibuatkan form mutasi aset</t>
  </si>
  <si>
    <t>4. Jika tak layak pakai, dibuatkan form penghapusan aset</t>
  </si>
  <si>
    <t>F. MAINTENANCE</t>
  </si>
  <si>
    <t>FLOW: PENGADAAN - PENERIMAAN BARANG - DISTRIBUSI - PENCATATAN - STOCK OPNAME - MAINTENANCE</t>
  </si>
  <si>
    <t>Buat dan dokumentasikan prosedur untuk:</t>
  </si>
  <si>
    <t>HAL YANG PERLU DIPERHATIKAN</t>
  </si>
  <si>
    <r>
      <t xml:space="preserve">3. Jika barang adalah </t>
    </r>
    <r>
      <rPr>
        <b/>
        <sz val="14"/>
        <color theme="1"/>
        <rFont val="Calibri"/>
        <family val="2"/>
        <scheme val="minor"/>
      </rPr>
      <t>Aset Tetap</t>
    </r>
    <r>
      <rPr>
        <sz val="14"/>
        <color theme="1"/>
        <rFont val="Calibri"/>
        <family val="2"/>
        <scheme val="minor"/>
      </rPr>
      <t>, tag barcode/sticker/RFID</t>
    </r>
  </si>
  <si>
    <r>
      <rPr>
        <b/>
        <sz val="14"/>
        <color theme="1"/>
        <rFont val="Calibri"/>
        <family val="2"/>
        <scheme val="minor"/>
      </rPr>
      <t>Definsi Aset:</t>
    </r>
    <r>
      <rPr>
        <sz val="14"/>
        <color theme="1"/>
        <rFont val="Calibri"/>
        <family val="2"/>
        <scheme val="minor"/>
      </rPr>
      <t xml:space="preserve"> aset jangka panjang yang digunakan oleh perusahaan dalam kegiatan operasionalnya, tidak dimaksudkan untuk dijual, dan memiliki masa manfaat lebih dari satu tahun</t>
    </r>
  </si>
  <si>
    <r>
      <rPr>
        <b/>
        <sz val="14"/>
        <color theme="1"/>
        <rFont val="Calibri"/>
        <family val="2"/>
        <scheme val="minor"/>
      </rPr>
      <t xml:space="preserve">Definisi Inventory: </t>
    </r>
    <r>
      <rPr>
        <sz val="14"/>
        <color theme="1"/>
        <rFont val="Calibri"/>
        <family val="2"/>
        <scheme val="minor"/>
      </rPr>
      <t>kumpulan barang atau komoditas yang dimiliki atau dikelola oleh suatu entitas pada suatu titik waktu tertentu. Barang-barang ini seringkali adalah barang yang bergerak atau dapat dengan mudah dipindahkan. Inventaris dapat mencakup barang-barang seperti persediaan barang dagangan, bahan baku, dan barang jadi. Pengelolaan inventaris melibatkan pemantauan stok, pengadaan, dan pengeluaran barang untuk memastikan ketersediaan dan efisiensi operasional. Inventory biasanya akan habis kurang dari 1 tahun.</t>
    </r>
  </si>
  <si>
    <t>A. Pendataan Aset yang Akurat</t>
  </si>
  <si>
    <t>B. Penetapan Struktur Organisasi &amp; Tanggung Jawab</t>
  </si>
  <si>
    <t>C. Prosedur Operasional Standar (SOP)</t>
  </si>
  <si>
    <t>D. Sistem Pencatatan dan Pelacakan</t>
  </si>
  <si>
    <t>E. Integrasi dengan Akuntansi &amp; Procurement</t>
  </si>
  <si>
    <t>F. Pengendalian Internal</t>
  </si>
  <si>
    <t>G. Pelatihan &amp; Disiplin User</t>
  </si>
  <si>
    <t>H. Pemeliharaan &amp; Siklus Hidup Aset</t>
  </si>
  <si>
    <t>I. Dokumentasi Lengkap</t>
  </si>
  <si>
    <t>J. Review dan Evaluasi Sistem Secara Berkala</t>
  </si>
  <si>
    <t>1. Inventarisasi semua aset yang dimiliki.</t>
  </si>
  <si>
    <t>2. Klasifikasikan aset berdasarkan jenis, fungsi, lokasi, nilai, umur, dsb.</t>
  </si>
  <si>
    <t>3. Tetapkan kode unik atau barcode/RFID untuk setiap aset.</t>
  </si>
  <si>
    <t>1. Siapa yang bertanggung jawab atas pencatatan?</t>
  </si>
  <si>
    <t>2. Siapa yang mengelola pergerakan aset?</t>
  </si>
  <si>
    <t>3. Siapa yang menyetujui pengadaan, mutasi, dan penghapusan aset?</t>
  </si>
  <si>
    <t>1. Pengadaan aset</t>
  </si>
  <si>
    <t>2. Penerimaan dan pencatatan aset</t>
  </si>
  <si>
    <t>3. Mutasi aset (pindah lokasi/user)</t>
  </si>
  <si>
    <t>4. Pemeliharaan dan perbaikan aset</t>
  </si>
  <si>
    <t>5. Penghapusan dan pelepasan aset</t>
  </si>
  <si>
    <t>6. Audit dan stock opname</t>
  </si>
  <si>
    <t>1. Awalnya bisa dengan Excel/Google Sheets.</t>
  </si>
  <si>
    <t>2. Untuk tahap lanjut, gunakan software manajemen aset:</t>
  </si>
  <si>
    <t>3. Fitur penting: pelacakan aset, jadwal pemeliharaan, depresiasi, mutasi, status kondisi aset.</t>
  </si>
  <si>
    <t>1. Aset tetap harus terhubung dengan modul akuntansi untuk menghitung depresiasi.</t>
  </si>
  <si>
    <t>2. Hubungkan dengan procurement untuk aset yang baru dibeli agar otomatis masuk ke daftar aset.</t>
  </si>
  <si>
    <t>1. Sistem approval (pengeluaran aset, mutasi, penghapusan).</t>
  </si>
  <si>
    <t>2. Audit periodik (fisik vs catatan).</t>
  </si>
  <si>
    <t>3. Pembatasan akses sistem (hanya user tertentu bisa edit data).</t>
  </si>
  <si>
    <t>1. Training bagi staf tentang pentingnya manajemen aset.</t>
  </si>
  <si>
    <t>2. Simulasi penggunaan sistem dan SOP.</t>
  </si>
  <si>
    <t>3. Evaluasi berkala dan sanksi untuk pelanggaran prosedur.</t>
  </si>
  <si>
    <t>1. Jadwal perawatan preventif dan korektif.</t>
  </si>
  <si>
    <t>2. Catatan historis pemakaian dan perbaikan.</t>
  </si>
  <si>
    <t>3. Penilaian kapan aset harus diganti atau dijual.</t>
  </si>
  <si>
    <t>1. Sertifikat pembelian, manual, garansi, dokumen penghapusan.</t>
  </si>
  <si>
    <t>2. Semua dokumen ini disimpan fisik &amp; digital.</t>
  </si>
  <si>
    <t>1. Apakah sistem yang berjalan masih relevan?</t>
  </si>
  <si>
    <t>2. Apakah terjadi banyak selisih saat stock opname?</t>
  </si>
  <si>
    <t>3. Apakah perlu upgrade dari Excel ke software?</t>
  </si>
  <si>
    <t>FLOW Manajemen Aset dan Inventory</t>
  </si>
  <si>
    <t>Permasalahan yang umum terjadi dalam management aset</t>
  </si>
  <si>
    <t>Permasalahan</t>
  </si>
  <si>
    <t>Keterangan</t>
  </si>
  <si>
    <t>Penyimpanan Data</t>
  </si>
  <si>
    <t>Tidak tercantumnya history data aset dalam penyimpanan data sehingga menyebabkan sulitnya melakukan track record aset tersebut</t>
  </si>
  <si>
    <t>Data Tidak Up to Date</t>
  </si>
  <si>
    <t>Keterbatasan yang dimiliki sistem membuat proses management aset  tidak dapat berjalan dengan baik, sehingga data yang tersimpan tidak uptodate dan relatif tidak akurat</t>
  </si>
  <si>
    <t>Sistem belum terintegrasi dengan aset</t>
  </si>
  <si>
    <t>Dengan belum terintegrasinya sistem dengan aset, maka pengolahan data akan membutuhkan waktu yang relatif lama, karena harus diolah secara manual dalam bentuk tabel.</t>
  </si>
  <si>
    <t>Human Error</t>
  </si>
  <si>
    <t>Kesalahan penginputan data</t>
  </si>
  <si>
    <t>Metode Persediaan</t>
  </si>
  <si>
    <t>Metode</t>
  </si>
  <si>
    <t>FIFO (First In First Out)</t>
  </si>
  <si>
    <t>1. Barang yang dibeli pertama kali adalah barang pertama akan dijual.</t>
  </si>
  <si>
    <t>2. Persediaan barang yang akan keluar untuk kegiatan produksi nilainya berdasarkan harga yang pertama kali masuk.</t>
  </si>
  <si>
    <t>3. Paling umum digunakan perusahaan</t>
  </si>
  <si>
    <t>4. Metode FIFO lebih terlihat untuk perhitungan HPP nya.</t>
  </si>
  <si>
    <t>Average</t>
  </si>
  <si>
    <t>1. Perhitungan biaya per unit persediaan dengan cara rata-rata tertimbang.</t>
  </si>
  <si>
    <t>LIFO (Last In First Out)</t>
  </si>
  <si>
    <t>1. Masuk terakhir keluar pertama adalah metode pencatatan persediaan barang di mana persediaan yang terakhir dibeli akan dijual terlebih dahulu dan persediaan yang pertama kali dibeli akan dikeluarkan kemudian hari.</t>
  </si>
  <si>
    <r>
      <t xml:space="preserve">2. Metode ini sudah dilarang menurut </t>
    </r>
    <r>
      <rPr>
        <i/>
        <sz val="14"/>
        <color rgb="FFFF0000"/>
        <rFont val="Calibri"/>
        <family val="2"/>
        <scheme val="minor"/>
      </rPr>
      <t>International Accounting Standar Board</t>
    </r>
    <r>
      <rPr>
        <sz val="14"/>
        <color rgb="FFFF0000"/>
        <rFont val="Calibri"/>
        <family val="2"/>
        <scheme val="minor"/>
      </rPr>
      <t>, PSAK 14, maupun Undang2 Perpajakan</t>
    </r>
  </si>
  <si>
    <t>COA</t>
  </si>
  <si>
    <t>Merk type</t>
  </si>
  <si>
    <t>AUGUST</t>
  </si>
  <si>
    <t>SEPT</t>
  </si>
  <si>
    <t>OCT</t>
  </si>
  <si>
    <t>NOV</t>
  </si>
  <si>
    <t>DEC</t>
  </si>
  <si>
    <t>ENGAOPS.02.01</t>
  </si>
  <si>
    <t>Ruang Pompa</t>
  </si>
  <si>
    <t>Kode</t>
  </si>
  <si>
    <t>Kripsol By hayward</t>
  </si>
  <si>
    <t>Regular Maintenance</t>
  </si>
  <si>
    <t>Vendor</t>
  </si>
  <si>
    <t>JANUARY</t>
  </si>
  <si>
    <t>FEBRUARY</t>
  </si>
  <si>
    <t>MARCH</t>
  </si>
  <si>
    <t>APRIL</t>
  </si>
  <si>
    <t xml:space="preserve">MAY </t>
  </si>
  <si>
    <t>JUNE</t>
  </si>
  <si>
    <t>JULY</t>
  </si>
  <si>
    <t>4 / year</t>
  </si>
  <si>
    <t>Aset Management</t>
  </si>
  <si>
    <t>ENG.AOPS.02.04</t>
  </si>
  <si>
    <t>ENG.AOPS.02.05</t>
  </si>
  <si>
    <t>ENG.AOPS.02.06</t>
  </si>
  <si>
    <t>PERiODE MAINTENANCE</t>
  </si>
  <si>
    <t>Nama :Filter Pompa Anak 
Type : 012521220520 KS EVO 200 M
Merk : Kripsol
Tahun Pembelian :2024</t>
  </si>
  <si>
    <t>Nama : Pompa Kolam Anak 
Type :  012521220520 KS EVO 200 M
Merk : Kripsol 
Tahun Pembelian : 2024</t>
  </si>
  <si>
    <t>Nama : Filter Pompa Kolam Pemanasan  
Type : 012521220520 KS EVO 200 M
Merk : Kripsol 
Tahun Pembelian : 2024</t>
  </si>
  <si>
    <t>Nama : Pompa Kolam Pemnasan  
Type : : 012521220520 KS EVO 200 M
Merk : Kripsol 
Tahun Pembelian : 2024</t>
  </si>
  <si>
    <t>Nama : Filter Pompa Kolam Olympic   
Type : 84494
Merk : Turbosan
Tahun Pembelian : 2024</t>
  </si>
  <si>
    <t>Nama : Pompa Kolam Olympic  
Type : 84494
Merk : Kripsol 
Tahun Pembelian : 2024</t>
  </si>
  <si>
    <t>Nama : Filter Pompa bantuan  
Type : CM10- 3 A-R-A-E-AQQE-F-A-A-N
Merk : Grundfos
Tahun Pembelian : 2024</t>
  </si>
  <si>
    <t>Nama : lifebuoy
Type   : 5556-I xing 2.5kg
Merk  : -
Tahun Pembelian : 2024</t>
  </si>
  <si>
    <t>Nama : Stick Vacuum
Type   :-
Merk  :- 
Tahun Pembelian : 2024</t>
  </si>
  <si>
    <t>Nama : closet 
Type   :-
Merk  :-
Tahun Pembelian : 2024</t>
  </si>
  <si>
    <t>Toilet</t>
  </si>
  <si>
    <t>Nama : Shower
Type   :-
Merk  : -
Tahun Pembelian : 2024</t>
  </si>
  <si>
    <t>Nama : Kursi Stainlese Steel
Type   :
Merk  : 
Tahun Pembelian : 2024</t>
  </si>
  <si>
    <t>Nama : Rak Spatu 
Type   :-
Merk  : -
Tahun Pembelian : 2024</t>
  </si>
  <si>
    <t>Nama : Loker 
Type   :
Merk  : 
Tahun Pembelian : 2024</t>
  </si>
  <si>
    <t>Nama : AC
Type   :-
Merk  : Dalkin
Tahun Pembelian : 2024</t>
  </si>
  <si>
    <t>Kantor</t>
  </si>
  <si>
    <t>Nama : Kursi Tamu
Type   :
Merk  : 
Tahun Pembelian : 2024</t>
  </si>
  <si>
    <t>Nama : Meja tamu
Type   :
Merk  : 
Tahun Pembelian : 2024</t>
  </si>
  <si>
    <t>Nama : Lemari 
Type   :
Merk  : brother
Tahun Pembelian : 2024</t>
  </si>
  <si>
    <t>Nama : Alat Pemadam Kebakaran 
Type   :
Merk  : 
Tahun Pembelian : 2024</t>
  </si>
  <si>
    <t>Nama : Kursi Kantor
Type   :-
Merk  : -
Tahun Pembelian : 2024</t>
  </si>
  <si>
    <t>Nama : Tempat Sampah Kantor
Type   :-
Merk  :-
Tahun Pembelian : 2024</t>
  </si>
  <si>
    <t>Nama : Kursi Pimpinan 
Type   :-
Merk  : -
Tahun Pembelian : 2024</t>
  </si>
  <si>
    <t>Nama : Meja kantor
Type   : -
Merk  : Brother
Tahun Pembelian : 2024</t>
  </si>
  <si>
    <t>Nama : Dispenser
Type   : -
Merk  : welhome
Tahun Pembelian : 2025</t>
  </si>
  <si>
    <t>Nama : Hairdryer
Type   : -
Merk  : 
Tahun Pembelian : 2025</t>
  </si>
  <si>
    <t>Nama :  Counter Ticketing
Type   : -
Merk  : 
Tahun Pembelian : 2025</t>
  </si>
  <si>
    <t>Nama :  Tablet 
Type   : -
Merk  : 
Tahun Pembelian : 2025</t>
  </si>
  <si>
    <t xml:space="preserve">Stadium </t>
  </si>
  <si>
    <t xml:space="preserve">Gudang </t>
  </si>
  <si>
    <t xml:space="preserve">Stadium lantai 2 </t>
  </si>
  <si>
    <t>Bahana Fantastic Pool Semarang</t>
  </si>
  <si>
    <t>Cahaya Pasar Gede Solo</t>
  </si>
  <si>
    <t>Panorama Solo</t>
  </si>
  <si>
    <t>Mitra 10 Solo</t>
  </si>
  <si>
    <t>Aset Lama</t>
  </si>
  <si>
    <t>Candi Elektronik</t>
  </si>
  <si>
    <t>Informa Solo</t>
  </si>
  <si>
    <t>Jempol solo</t>
  </si>
  <si>
    <t>Informa</t>
  </si>
  <si>
    <t>Anterior Solo</t>
  </si>
  <si>
    <t>Kripsol By haywardType : 012521220520 KS EVO 200 M</t>
  </si>
  <si>
    <t>Utility</t>
  </si>
  <si>
    <t>Mekanikal</t>
  </si>
  <si>
    <t>AOPS</t>
  </si>
  <si>
    <t>ASET INVENTORY</t>
  </si>
  <si>
    <t xml:space="preserve">Assalaam Olympic Pool Stadium </t>
  </si>
  <si>
    <t>Lobby</t>
  </si>
  <si>
    <t>Pool Area</t>
  </si>
  <si>
    <t>Work out Space</t>
  </si>
  <si>
    <t>Locker Room</t>
  </si>
  <si>
    <t>Office</t>
  </si>
  <si>
    <t>Chemicals Room</t>
  </si>
  <si>
    <t>Pump Room</t>
  </si>
  <si>
    <t>Ruang Kajian</t>
  </si>
  <si>
    <t>Café</t>
  </si>
  <si>
    <t>Gambar</t>
  </si>
  <si>
    <t xml:space="preserve">Deskripsi </t>
  </si>
  <si>
    <t>Jumlah</t>
  </si>
  <si>
    <t>Nama : Tempat Parkir Sepeda
Type   :
Merk  : 
Tahun Pembelian : 2026</t>
  </si>
  <si>
    <t>Nama : 
Type   :
Merk  : -
Tahun Pembelian : 2025</t>
  </si>
  <si>
    <t>Nama : Cermin Full Body
Type   :
Merk  : -
Tahun Pembelian : 2024</t>
  </si>
  <si>
    <t>Nama : AC
Type   : 1 1/2PK
Merk  : Daiki
Tahun Pembelian : 2024</t>
  </si>
  <si>
    <t>Nama Bucket Cleanning
Type :- 
Merk : Krisbow
Tahun Pembelian : 2024</t>
  </si>
  <si>
    <t>Nama : Pigura Asmaul Husna
Type   :-
Merk  :-
Tahun Pembelian : 2026</t>
  </si>
  <si>
    <t>Nama : Kursi Oval 
Type   :-
Merk  :-
Tahun Pembelian : 2024</t>
  </si>
  <si>
    <t>Nama : Hand Rail Safety
Type   :
Merk  : 
Tahun Pembelian : 2026</t>
  </si>
  <si>
    <t>Nama : Pelampung Renang
Type   :-
Merk  : speeda
Tahun Pembelian : 2024</t>
  </si>
  <si>
    <t>Nama : 
Type   :
Merk  : -
Tahun Pembelian : 2026</t>
  </si>
  <si>
    <t>Nama : Rak Sepatu Besar
Type   :
Merk  : -
Tahun Pembelian : 2024</t>
  </si>
  <si>
    <t>Nama : lobby duster 
Type   :-
Merk  : nagata
Tahun Pembelian : 2024</t>
  </si>
  <si>
    <t>Nama : Tempat Sampah 
Type   :-
Merk  :- 
Tahun Pembelian : 2024</t>
  </si>
  <si>
    <t>Nama : Pendingin Ruangan
Type   : 1 1/2 pk
Merk  :-
Tahun Pembelian : 2024</t>
  </si>
  <si>
    <t>Nama : Meja
Type   :-
Merk  :-
Tahun Pembelian : 2024</t>
  </si>
  <si>
    <t>Nama : Rak Helm
Type   :
Merk  : 
Tahun Pembelian : 2025</t>
  </si>
  <si>
    <t>Nama : Papan Renang 
Type   :-
Merk  : 
Tahun Pembelian : 2024</t>
  </si>
  <si>
    <t>Nama : Rak Sepatu Kecil
Type   :
Merk  : -
Tahun Pembelian : 2025</t>
  </si>
  <si>
    <t>Nama : Squeegee 55 cm 
Type   :-
Merk  : Nagata
Tahun Pembelian : 2024</t>
  </si>
  <si>
    <t>Nama : Bantal Duduk
Type   : 
Merk  :-
Tahun Pembelian : 2026</t>
  </si>
  <si>
    <t>Nama : Rak Buku
Type   :-
Merk  :-
Tahun Pembelian : 2026</t>
  </si>
  <si>
    <t>Nama : Kursi Petugas Tiketing
Type   :
Merk  : 
Tahun Pembelian : 2025</t>
  </si>
  <si>
    <t>Nama : Papan Renang
Type   :-
Merk  : speeda
Tahun Pembelian : 2024</t>
  </si>
  <si>
    <t>Nama : Tempat Sampah
Type   :
Merk  : -
Tahun Pembelian : 2024</t>
  </si>
  <si>
    <t>Nama : Mop
Type   :-
Merk  : nagata
Tahun Pembelian : 2024</t>
  </si>
  <si>
    <t>Nama : HairDyer
Type   :
Merk  : 
Tahun Pembelian : 2024</t>
  </si>
  <si>
    <t>Nama : Gordyn
Type   : 
Merk  :-
Tahun Pembelian : 2026</t>
  </si>
  <si>
    <t>Nama : Rak Tempat Bunga
Type   :-
Merk  :-
Tahun Pembelian : 2026</t>
  </si>
  <si>
    <t>Nama : Bar Tiketing
Type   :
Merk  : 
Tahun Pembelian : 2025</t>
  </si>
  <si>
    <t>Nama : Lemari Penyimpanan
Type   :
Merk  : -
Tahun Pembelian : 2024</t>
  </si>
  <si>
    <t>Nama : Squeegee 30 cm 
Type   :
Merk  : nagata
Tahun Pembelian : 2024</t>
  </si>
  <si>
    <t>Nama : Bowl Wastafel
Type   :
Merk  : 
Tahun Pembelian : 2024</t>
  </si>
  <si>
    <t>Nama : Karpet Permadani
Type   : 
Merk  :-
Tahun Pembelian : 2026</t>
  </si>
  <si>
    <t>Nama : Rak 3 Susun
Type   :-
Merk  :-
Tahun Pembelian : 2026</t>
  </si>
  <si>
    <t>Nama : Banner Operasional
Type   :
Merk  : 
Tahun Pembelian : 2025</t>
  </si>
  <si>
    <t>Nama : Apar
Type   :
Merk  : 
Tahun Pembelian : 2024</t>
  </si>
  <si>
    <t>Nama : Lemari Karyawan
Type   :
Merk  : -
Tahun Pembelian : 2024</t>
  </si>
  <si>
    <t>Nama : Squeegee Wipper
Type   :
Merk  : nagata
Tahun Pembelian : 2024</t>
  </si>
  <si>
    <t>Nama : Cermin Besar
Type   :
Merk  : 
Tahun Pembelian : 2024</t>
  </si>
  <si>
    <t>Nama : Alas Karpet Biru
Type   : 
Merk  :-
Tahun Pembelian : 2026</t>
  </si>
  <si>
    <t>&gt;2</t>
  </si>
  <si>
    <t>Nama : Rak Display Roti
Type   :-
Merk  :-
Tahun Pembelian : 2026</t>
  </si>
  <si>
    <t>Nama : Termal Printer Tiket
Type   :
Merk  : 
Tahun Pembelian : 2025</t>
  </si>
  <si>
    <t>Nama : Rak Display Marchendise
Type   :
Merk  : 
Tahun Pembelian : 2024</t>
  </si>
  <si>
    <t>Nama : Matras
Type   :
Merk  : -
Tahun Pembelian : 2026</t>
  </si>
  <si>
    <t>Nama : Kursi
Type   :
Merk  : -
Tahun Pembelian : 2025</t>
  </si>
  <si>
    <t>Nama : Kursi Besar
Type   :-
Merk  : -
Tahun Pembelian : 2024</t>
  </si>
  <si>
    <t>Nama : Sapu 
Type   :-
Merk  : Alaska
Tahun Pembelian : 2024</t>
  </si>
  <si>
    <t>Nama : Kursi 
Type   :
Merk  : 
Tahun Pembelian : 2024</t>
  </si>
  <si>
    <t>Nama : Guci
Type   : 
Merk  :-
Tahun Pembelian : 2026</t>
  </si>
  <si>
    <t>Nama : Meja Bar Coffe
Type   :-
Merk  :-
Tahun Pembelian : 2026</t>
  </si>
  <si>
    <t>Nama : Holder Tablet
Type   :
Merk  : 
Tahun Pembelian : 2025</t>
  </si>
  <si>
    <t>Nama : Cermin Full Body
Type   :
Merk  : 
Tahun Pembelian : 2025</t>
  </si>
  <si>
    <t>Nama : Resistant Band
Type   : 
Merk  : -
Tahun Pembelian : 2025</t>
  </si>
  <si>
    <t>Nama : Rak Perlengkapan Sholat
Type   :
Merk  : -
Tahun Pembelian : 2025</t>
  </si>
  <si>
    <t>Nama : Stop Kontak
Type   : or-3212
Merk  : orenchi
Tahun Pembelian : 2024</t>
  </si>
  <si>
    <t>Nama : Brashing
Type   :-
Merk  : nagata
Tahun Pembelian : 2024</t>
  </si>
  <si>
    <t>Nama : Pompa Kolam bantuan 
Type  CM10- 3 A-R-A-E-AQQE-F-A-A-N 
Merk : Grundfos 
Tahun Pembelian : 2024</t>
  </si>
  <si>
    <t>Nama : Rak Amenities
Type   :
Merk  : 
Tahun Pembelian : 2024</t>
  </si>
  <si>
    <t>Nama : Kabinet
Type   : 
Merk  :-
Tahun Pembelian : 2026</t>
  </si>
  <si>
    <t>Nama : Showcase Kecil
Type   :-
Merk  :-
Tahun Pembelian : 2026</t>
  </si>
  <si>
    <t>Nama : Subsoccer
Type   :
Merk  : 
Tahun Pembelian : 2025</t>
  </si>
  <si>
    <t>Nama : Papan Peringatan
Type   :
Merk  : 
Tahun Pembelian : 2025</t>
  </si>
  <si>
    <t>Nama : Gymball
Type   : 
Merk  : -
Tahun Pembelian : 2025</t>
  </si>
  <si>
    <t>Nama : Perlengkapann Sholat
Type   :
Merk  : -
Tahun Pembelian : 2025</t>
  </si>
  <si>
    <t>Nama : Stik Kaca
Type   :-
Merk  :-
Tahun Pembelian : 2024</t>
  </si>
  <si>
    <t>Nama : Sisir
Type   :
Merk  : 
Tahun Pembelian : 2024</t>
  </si>
  <si>
    <t>Nama : Pigura
Type   : 
Merk  :-
Tahun Pembelian : 2026</t>
  </si>
  <si>
    <t>Nama : Lampu Bar
Type   :-
Merk  :-
Tahun Pembelian : 2026</t>
  </si>
  <si>
    <t>Nama : Rambu Parkir
Type   :
Merk  : 
Tahun Pembelian : 2025</t>
  </si>
  <si>
    <t>Nama : Pembatas
Type   :
Merk  : 
Tahun Pembelian : 2025</t>
  </si>
  <si>
    <t>Nama : 1 Set Dumbell
Type   : 
Merk  : -
Tahun Pembelian : 2026</t>
  </si>
  <si>
    <t>Nama : Lampu
Type   :
Merk  : -
Tahun Pembelian : 2024</t>
  </si>
  <si>
    <t>Nama : Sikat Kamar Mandi
Type   :-
Merk  :-
Tahun Pembelian : 2024</t>
  </si>
  <si>
    <t>Nama : Karpet
Type   :
Merk  : 
Tahun Pembelian : 2024</t>
  </si>
  <si>
    <t>Nama : Kipas Angin Baling
Type   :-
Merk  :-
Tahun Pembelian : 2026</t>
  </si>
  <si>
    <t>Nama : Rak Gantung Display
Type   :
Merk  : 
Tahun Pembelian : 2025</t>
  </si>
  <si>
    <t>Nama : Pigura
Type   :
Merk  : -
Tahun Pembelian : 2024</t>
  </si>
  <si>
    <t>Nama : Kotak P3K
Type   : -
Merk  : -
Tahun Pembelian : 2025</t>
  </si>
  <si>
    <t>Nama : Stik Kaca
Type   :-
Merk  :- 
Tahun Pembelian : 2024</t>
  </si>
  <si>
    <t>Nama : Kotak Hand Soap
Type   :
Merk  : 
Tahun Pembelian : 2024</t>
  </si>
  <si>
    <t>Nama : Kaca Bulat
Type   :-
Merk  :-
Tahun Pembelian : 2026</t>
  </si>
  <si>
    <t>Nama : Rak Display
Type   :
Merk  : 
Tahun Pembelian : 2025</t>
  </si>
  <si>
    <t>Nama : Pembatas Kolam
Type   :
Merk  : -
Tahun Pembelian : 2024</t>
  </si>
  <si>
    <t>Nama : Rak Penyimpanan
Type   : -
Merk  : -
Tahun Pembelian : 2025</t>
  </si>
  <si>
    <t>Nama : Botol Spray Merah
Type   :-
Merk  : Krisgarden
Tahun Pembelian : 2024</t>
  </si>
  <si>
    <t>Nama : Tempat Sampah
Type   :
Merk  : 
Tahun Pembelian : 2024</t>
  </si>
  <si>
    <t>Nama : Papan Marchendise
Type   :-
Merk  :-
Tahun Pembelian : 2026</t>
  </si>
  <si>
    <t>Nama : Karpet Karet Panjang
Type   :
Merk  : 
Tahun Pembelian : 2025</t>
  </si>
  <si>
    <t>Nama : Vaccum
Type   :
Merk  : -
Tahun Pembelian : 2025</t>
  </si>
  <si>
    <t>Nama : Meja Kayu
Type   : -
Merk  : -
Tahun Pembelian : 2025</t>
  </si>
  <si>
    <t>Nama : Botol Spray biru
Type   :-
Merk  : yardsmith
Tahun Pembelian : 2024</t>
  </si>
  <si>
    <t>Nama : 1 set Meja Kursi
Type   :-
Merk  :-
Tahun Pembelian : 2026</t>
  </si>
  <si>
    <t>Nama : Speaker
Type   :
Merk  : 
Tahun Pembelian : 2026</t>
  </si>
  <si>
    <t>Nama : Tablet
Type   : -
Merk  : -
Tahun Pembelian : 2025</t>
  </si>
  <si>
    <t>Nama : Botol Spray hijau
Type   :-
Merk  : yardsmith 
Tahun Pembelian : 2024</t>
  </si>
  <si>
    <t>Nama : Tanaman
Type   :-
Merk  :-
Tahun Pembelian : 2026</t>
  </si>
  <si>
    <t>Nama : Kursi Pengunjung (tambahan)
Type   :
Merk  : 
Tahun Pembelian : 2026</t>
  </si>
  <si>
    <t>Nama : Televisi
Type   : -
Merk  : -
Tahun Pembelian : 2025</t>
  </si>
  <si>
    <t>Nama : Vakum Kolam
Type   :-
Merk  :-
Tahun Pembelian : 2024</t>
  </si>
  <si>
    <t>Nama : Rak Pembatas
Type   :-
Merk  :-
Tahun Pembelian : 2026</t>
  </si>
  <si>
    <t>Nama : Lampu Sorot
Type   :
Merk  : 
Tahun Pembelian : 2026</t>
  </si>
  <si>
    <t>Nama : Smartphone
Type   : -
Merk  : -
Tahun Pembelian : 2025</t>
  </si>
  <si>
    <t>Nama : Papan Peringatan 
Type   :-
Merk  : Krisbow
Tahun Pembelian : 2024</t>
  </si>
  <si>
    <t>Nama : Ice Box
Type   :-
Merk  :-
Tahun Pembelian : 2026</t>
  </si>
  <si>
    <t>Nama : Gordyn 
Type   :
Merk  : 
Tahun Pembelian : 2026</t>
  </si>
  <si>
    <t>Nama : Laptop
Type   : -
Merk  : -
Tahun Pembelian : 2025</t>
  </si>
  <si>
    <t>Nama : Sikat Kolam
Type   :-
Merk  :-
Tahun Pembelian : 2024</t>
  </si>
  <si>
    <t>Nama : Microwave
Type   :-
Merk  :-
Tahun Pembelian : 2026</t>
  </si>
  <si>
    <t>Nama : CCTV
Type   :
Merk  : 
Tahun Pembelian : 2026</t>
  </si>
  <si>
    <t>Nama : CCTV
Type   : -
Merk  : -
Tahun Pembelian : 2026</t>
  </si>
  <si>
    <t>Nama : Sapu Plafon
Type   :-
Merk  :-
Tahun Pembelian : 2024</t>
  </si>
  <si>
    <t>Nama : Tempat Sampah 
Type   :-
Merk  :-
Tahun Pembelian : 2026</t>
  </si>
  <si>
    <t>Nama : Jam Timer
Type   :
Merk  : 
Tahun Pembelian : 2026</t>
  </si>
  <si>
    <t>Nama : Selang vakum
Type   :-
Merk  : -
Tahun Pembelian : 2024</t>
  </si>
  <si>
    <t>Nama : Bar Coffe
Type   :-
Merk  :-
Tahun Pembelian : 2026</t>
  </si>
  <si>
    <t>Nama : Genset
Type   :
Merk  : 
Tahun Pembelian : 2025</t>
  </si>
  <si>
    <t>Nama : Daspen
Type   :-
Merk  : Nagata
Tahun Pembelian : 2024</t>
  </si>
  <si>
    <t>Nama : Kompor 2 Tungku
Type   :-
Merk  :-
Tahun Pembelian : 2026</t>
  </si>
  <si>
    <t>Nama : Stik Vakum
Type   :-
Merk  :- 
Tahun Pembelian : 2024</t>
  </si>
  <si>
    <t>Nama : Tabung Gas
Type   :-
Merk  :-
Tahun Pembelian : 2026</t>
  </si>
  <si>
    <t>Nama : Sikat
Type   :-
Merk  : iclean 
Tahun Pembelian : 2024</t>
  </si>
  <si>
    <t>Nama : Tempat Sampah
Type   :-
Merk  :-
Tahun Pembelian : 2026</t>
  </si>
  <si>
    <t>Nama : Jet Spray
Type   :-
Merk  : iclean 
Tahun Pembelian : 2024</t>
  </si>
  <si>
    <t>Nama : Tempat Penyimpanan Alat Masak
Type   :-
Merk  :-
Tahun Pembelian : 2026</t>
  </si>
  <si>
    <t>Nama : Karpet Karet
Type   :-
Merk  :-
Tahun Pembelian : 2026</t>
  </si>
  <si>
    <t>Nama : Showcase Besar
Type   :-
Merk  :-
Tahun Pembelian : 2026</t>
  </si>
  <si>
    <t>Nama : CCTV 
Type   :-
Merk  :-
Tahun Pembelian : 2026</t>
  </si>
  <si>
    <t>Nama : Tempat Cup
Type   :-
Merk  :-
Tahun Pembelian : 2026</t>
  </si>
  <si>
    <t>Nama : Kursi Panjang
Type   :-
Merk  :-
Tahun Pembelian : 2026</t>
  </si>
  <si>
    <t>Nama : Lemari Wastafel
Type   :-
Merk  :-
Tahun Pembelian : 2026</t>
  </si>
  <si>
    <t>Nama : Toaster
Type   :-
Merk  :-
Tahun Pembelian : 2026</t>
  </si>
  <si>
    <t>Nama : Teko Kopi
Type   :-
Merk  :-
Tahun Pembelian : 2026</t>
  </si>
  <si>
    <t>Nama : Grinder
Type   :-
Merk  :-
Tahun Pembelian : 2026</t>
  </si>
  <si>
    <t>Nama : Teko Pemanas
Type   :-
Merk  :-
Tahun Pembelian : 2026</t>
  </si>
  <si>
    <t>Nama : Pompa Air Galon
Type   :-
Merk  :-
Tahun Pembelian : 2026</t>
  </si>
  <si>
    <t>Per April 2026</t>
  </si>
  <si>
    <t>Lobby Entrance</t>
  </si>
  <si>
    <t>AOPS.02.01</t>
  </si>
  <si>
    <t>Nama : Safety Carpet ( Hitam )Karet Panjang
Type   :
Merk  : 
Tahun Pembelian : 2025</t>
  </si>
  <si>
    <t>Nama : Portable Speaker
Type   :
Merk  : 
Tahun Pembelian : 2026</t>
  </si>
  <si>
    <t>Nama : Kursi Pengunjung (tambahan) Stainless Kayu Meranti
Type   :
Merk  : 
Tahun Pembelian : 2026</t>
  </si>
  <si>
    <t>Nama : Alat pemadam Kebakaran
Type   :
Merk  : 
Tahun Pembelian : 2024</t>
  </si>
  <si>
    <t>Nama : Rak Display Merchandise
Type   :
Merk  : 
Tahun Pembelian : 2024</t>
  </si>
  <si>
    <t>Nama : Tali Pembatas
Type   :
Merk  : 
Tahun Pembelian : 2025</t>
  </si>
  <si>
    <t>Merchandise</t>
  </si>
  <si>
    <t>Workout Space</t>
  </si>
  <si>
    <t>Nama : Karcher Wet and Dry Vaccum
Type   :
Merk  : -
Tahun Pembelian : 2025</t>
  </si>
  <si>
    <t>Nama : Televisi 50 inch dan Stand 
Type   : 
Merk  : Aquos 
Tahun Pembelian : 2025</t>
  </si>
  <si>
    <t>Nama : Smartphone
Type   : Iphone 11
Merk  : Iphone 
Tahun Pembelian : 2025</t>
  </si>
  <si>
    <t>Nama : Laptop
Type   : -
Merk  : Asus
Tahun Pembelian : 2025</t>
  </si>
  <si>
    <t>Nama : Laptop
Type   : -
Merk  : Asus
Tahun Pembelian : 2026</t>
  </si>
  <si>
    <t>Nama : Dustpan
Type   :-
Merk  : Nagata
Tahun Pembelian : 2024</t>
  </si>
  <si>
    <t>Ruang Chemical</t>
  </si>
  <si>
    <t>Nama : Air Conditioner
Type   : 1 1/2 pk
Merk  :-
Tahun Pembelian : 2024</t>
  </si>
  <si>
    <t>Nama : Waffle Toaster
Type   :-
Merk  :-
Tahun Pembelian : 2026</t>
  </si>
  <si>
    <t>Nama : Bar Counter
Type   :-
Merk  :-
Tahun Pembelian : 2026</t>
  </si>
  <si>
    <t>Nama : Tabung Gas
Type   :-
Merk  :-Melon
Tahun Pembelian : 2026</t>
  </si>
  <si>
    <t>Nama : Kompor 2 Tungku
Type   :-
Merk  :-Rinnai 
Tahun Pembelian : 2026</t>
  </si>
  <si>
    <t>Nama : Glass Coffee Server
Type   :-
Merk  :-
Tahun Pembelian : 2026</t>
  </si>
  <si>
    <t>Nama : Wash basin Cabinet
Type   :-
Merk  :-
Tahun Pembelian : 2026</t>
  </si>
  <si>
    <t>Ruang Lantai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</si>
</sst>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23" x14ac:knownFonts="1">
    <font>
      <sz val="11"/>
      <color theme="1"/>
      <name val="Calibri"/>
      <family val="2"/>
      <scheme val="minor"/>
    </font>
    <font>
      <sz val="11"/>
      <color theme="1"/>
      <name val="Calibri"/>
      <family val="2"/>
      <scheme val="minor"/>
    </font>
    <font>
      <b/>
      <u/>
      <sz val="22"/>
      <color theme="1"/>
      <name val="ADLaM Display"/>
    </font>
    <font>
      <sz val="22"/>
      <color theme="1"/>
      <name val="ADLaM Display"/>
    </font>
    <font>
      <b/>
      <sz val="11"/>
      <color theme="1"/>
      <name val="Abadi"/>
      <family val="2"/>
    </font>
    <font>
      <sz val="14"/>
      <color theme="1"/>
      <name val="Calibri"/>
      <family val="2"/>
      <scheme val="minor"/>
    </font>
    <font>
      <b/>
      <sz val="14"/>
      <color theme="1"/>
      <name val="Calibri"/>
      <family val="2"/>
      <scheme val="minor"/>
    </font>
    <font>
      <b/>
      <sz val="14"/>
      <color theme="1"/>
      <name val="Abadi"/>
      <family val="2"/>
    </font>
    <font>
      <sz val="14"/>
      <color rgb="FFFF0000"/>
      <name val="Calibri"/>
      <family val="2"/>
      <scheme val="minor"/>
    </font>
    <font>
      <b/>
      <i/>
      <sz val="14"/>
      <color theme="1"/>
      <name val="Calibri"/>
      <family val="2"/>
      <scheme val="minor"/>
    </font>
    <font>
      <b/>
      <sz val="11"/>
      <color theme="1"/>
      <name val="Calibri"/>
      <family val="2"/>
      <scheme val="minor"/>
    </font>
    <font>
      <b/>
      <sz val="18"/>
      <color theme="1"/>
      <name val="Calibri"/>
      <family val="2"/>
      <scheme val="minor"/>
    </font>
    <font>
      <i/>
      <sz val="14"/>
      <color rgb="FFFF0000"/>
      <name val="Calibri"/>
      <family val="2"/>
      <scheme val="minor"/>
    </font>
    <font>
      <sz val="11"/>
      <color theme="1"/>
      <name val="Calibri"/>
      <family val="2"/>
      <scheme val="minor"/>
    </font>
    <font>
      <b/>
      <sz val="12"/>
      <color theme="1"/>
      <name val="Calibri"/>
      <family val="2"/>
      <scheme val="minor"/>
    </font>
    <font>
      <sz val="11"/>
      <name val="Calibri"/>
      <family val="2"/>
    </font>
    <font>
      <sz val="9"/>
      <color theme="1"/>
      <name val="Calibri"/>
      <family val="2"/>
    </font>
    <font>
      <sz val="12"/>
      <color theme="1"/>
      <name val="Calibri"/>
      <family val="2"/>
      <scheme val="minor"/>
    </font>
    <font>
      <sz val="16"/>
      <color theme="1"/>
      <name val="Calibri"/>
      <family val="2"/>
      <scheme val="minor"/>
    </font>
    <font>
      <sz val="9"/>
      <color theme="1"/>
      <name val="Calibri"/>
      <family val="2"/>
    </font>
    <font>
      <sz val="11"/>
      <color theme="1"/>
      <name val="Calibri"/>
      <family val="2"/>
    </font>
    <font>
      <sz val="8"/>
      <color theme="1"/>
      <name val="Calibri"/>
      <family val="2"/>
    </font>
    <font>
      <sz val="9"/>
      <color theme="1"/>
      <name val="Calibri"/>
      <family val="2"/>
      <scheme val="minor"/>
    </font>
  </fonts>
  <fills count="9">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theme="7"/>
        <bgColor indexed="64"/>
      </patternFill>
    </fill>
    <fill>
      <patternFill patternType="solid">
        <fgColor theme="4" tint="0.79998168889431442"/>
        <bgColor indexed="64"/>
      </patternFill>
    </fill>
    <fill>
      <patternFill patternType="solid">
        <fgColor rgb="FFFFFF00"/>
        <bgColor rgb="FFFFFF00"/>
      </patternFill>
    </fill>
    <fill>
      <patternFill patternType="solid">
        <fgColor theme="7" tint="0.79998168889431442"/>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medium">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rgb="FF000000"/>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top style="thin">
        <color rgb="FF000000"/>
      </top>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13" fillId="0" borderId="0"/>
  </cellStyleXfs>
  <cellXfs count="144">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1" xfId="0" applyFont="1" applyBorder="1"/>
    <xf numFmtId="0" fontId="5" fillId="0" borderId="1" xfId="0" applyFont="1" applyBorder="1"/>
    <xf numFmtId="0" fontId="7" fillId="0" borderId="0" xfId="0" applyFont="1"/>
    <xf numFmtId="0" fontId="6" fillId="0" borderId="1" xfId="0" applyFont="1" applyBorder="1" applyAlignment="1">
      <alignment horizontal="center" vertical="center"/>
    </xf>
    <xf numFmtId="0" fontId="6" fillId="0" borderId="1" xfId="0" applyFont="1" applyBorder="1" applyAlignment="1">
      <alignment horizontal="center"/>
    </xf>
    <xf numFmtId="0" fontId="5" fillId="0" borderId="1" xfId="0" applyFont="1" applyBorder="1" applyAlignment="1">
      <alignment horizontal="left" vertical="center" wrapText="1"/>
    </xf>
    <xf numFmtId="0" fontId="6" fillId="0" borderId="0" xfId="0" applyFont="1"/>
    <xf numFmtId="0" fontId="6" fillId="0" borderId="1" xfId="0" applyFont="1" applyBorder="1" applyAlignment="1">
      <alignment horizontal="center" vertical="top"/>
    </xf>
    <xf numFmtId="165" fontId="5" fillId="0" borderId="0" xfId="1" applyNumberFormat="1" applyFont="1"/>
    <xf numFmtId="0" fontId="6" fillId="4" borderId="1" xfId="0" applyFont="1" applyFill="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6"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5" fillId="2" borderId="1" xfId="0" applyFont="1" applyFill="1" applyBorder="1"/>
    <xf numFmtId="0" fontId="9" fillId="0" borderId="1" xfId="0" applyFont="1" applyBorder="1" applyAlignment="1">
      <alignment horizontal="center" vertical="center" wrapText="1"/>
    </xf>
    <xf numFmtId="0" fontId="5" fillId="0" borderId="1" xfId="0" applyFont="1" applyBorder="1" applyAlignment="1">
      <alignment wrapText="1"/>
    </xf>
    <xf numFmtId="0" fontId="11" fillId="0" borderId="0" xfId="0" applyFont="1"/>
    <xf numFmtId="0" fontId="10" fillId="0" borderId="0" xfId="0" applyFont="1"/>
    <xf numFmtId="0" fontId="6" fillId="5" borderId="1" xfId="0" applyFont="1" applyFill="1" applyBorder="1" applyAlignment="1">
      <alignment horizontal="center"/>
    </xf>
    <xf numFmtId="0" fontId="8" fillId="0" borderId="1" xfId="0" applyFont="1" applyBorder="1" applyAlignment="1">
      <alignment wrapText="1"/>
    </xf>
    <xf numFmtId="0" fontId="0" fillId="0" borderId="1" xfId="0" applyBorder="1"/>
    <xf numFmtId="0" fontId="1" fillId="0" borderId="9" xfId="0" applyFont="1" applyBorder="1" applyAlignment="1">
      <alignment vertical="center"/>
    </xf>
    <xf numFmtId="0" fontId="0" fillId="0" borderId="9" xfId="0" applyBorder="1"/>
    <xf numFmtId="0" fontId="14" fillId="6" borderId="18" xfId="0" applyFont="1" applyFill="1" applyBorder="1" applyAlignment="1">
      <alignment horizontal="center" wrapText="1"/>
    </xf>
    <xf numFmtId="0" fontId="10" fillId="6" borderId="10" xfId="0" applyFont="1" applyFill="1" applyBorder="1" applyAlignment="1">
      <alignment horizontal="center"/>
    </xf>
    <xf numFmtId="0" fontId="10" fillId="0" borderId="8" xfId="0" applyFont="1" applyBorder="1" applyAlignment="1">
      <alignment horizontal="center"/>
    </xf>
    <xf numFmtId="0" fontId="10" fillId="0" borderId="11" xfId="0" applyFont="1" applyBorder="1" applyAlignment="1">
      <alignment horizontal="center"/>
    </xf>
    <xf numFmtId="0" fontId="10" fillId="0" borderId="12" xfId="0" applyFont="1" applyBorder="1" applyAlignment="1">
      <alignment horizontal="center"/>
    </xf>
    <xf numFmtId="0" fontId="10" fillId="0" borderId="10" xfId="0" applyFont="1" applyBorder="1" applyAlignment="1">
      <alignment horizontal="center"/>
    </xf>
    <xf numFmtId="0" fontId="5" fillId="0" borderId="1" xfId="0" applyFont="1" applyBorder="1" applyAlignment="1">
      <alignment horizontal="center" vertical="center"/>
    </xf>
    <xf numFmtId="0" fontId="16" fillId="0" borderId="15" xfId="0" applyFont="1" applyBorder="1" applyAlignment="1">
      <alignment horizontal="left" vertical="top" wrapText="1"/>
    </xf>
    <xf numFmtId="0" fontId="16" fillId="0" borderId="19" xfId="0" applyFont="1" applyBorder="1" applyAlignment="1">
      <alignment horizontal="left" vertical="top" wrapText="1"/>
    </xf>
    <xf numFmtId="0" fontId="0" fillId="0" borderId="1" xfId="0" applyBorder="1" applyAlignment="1">
      <alignment horizontal="center" vertical="center"/>
    </xf>
    <xf numFmtId="0" fontId="0" fillId="0" borderId="14" xfId="0" applyBorder="1"/>
    <xf numFmtId="0" fontId="18" fillId="0" borderId="0" xfId="0" applyFont="1"/>
    <xf numFmtId="0" fontId="19" fillId="0" borderId="19" xfId="0" applyFont="1" applyBorder="1" applyAlignment="1">
      <alignment horizontal="left" vertical="top" wrapText="1"/>
    </xf>
    <xf numFmtId="0" fontId="17" fillId="0" borderId="0" xfId="0" applyFont="1"/>
    <xf numFmtId="0" fontId="0" fillId="0" borderId="0" xfId="0" applyAlignment="1">
      <alignment horizontal="center" vertical="center"/>
    </xf>
    <xf numFmtId="0" fontId="0" fillId="0" borderId="0" xfId="0" applyAlignment="1">
      <alignment horizontal="center"/>
    </xf>
    <xf numFmtId="0" fontId="16" fillId="0" borderId="15" xfId="0" applyFont="1" applyBorder="1" applyAlignment="1">
      <alignment horizontal="center" vertical="center"/>
    </xf>
    <xf numFmtId="0" fontId="0" fillId="0" borderId="26" xfId="0" applyBorder="1" applyAlignment="1">
      <alignment horizontal="center" vertical="center"/>
    </xf>
    <xf numFmtId="0" fontId="20" fillId="0" borderId="15" xfId="0" applyFont="1" applyBorder="1" applyAlignment="1">
      <alignment horizontal="center" vertical="center"/>
    </xf>
    <xf numFmtId="0" fontId="0" fillId="0" borderId="27" xfId="0" applyBorder="1" applyAlignment="1">
      <alignment horizontal="center"/>
    </xf>
    <xf numFmtId="0" fontId="0" fillId="0" borderId="27" xfId="0" applyBorder="1" applyAlignment="1">
      <alignment horizontal="center" vertical="center"/>
    </xf>
    <xf numFmtId="0" fontId="16" fillId="0" borderId="27" xfId="0" applyFont="1" applyBorder="1" applyAlignment="1">
      <alignment horizontal="center" vertical="center"/>
    </xf>
    <xf numFmtId="0" fontId="16" fillId="0" borderId="1" xfId="0" applyFont="1" applyBorder="1" applyAlignment="1">
      <alignment horizontal="left" vertical="top" wrapText="1"/>
    </xf>
    <xf numFmtId="0" fontId="16" fillId="0" borderId="26" xfId="0" applyFont="1" applyBorder="1" applyAlignment="1">
      <alignment horizontal="center" vertical="center"/>
    </xf>
    <xf numFmtId="0" fontId="20" fillId="0" borderId="15" xfId="0" applyFont="1" applyBorder="1"/>
    <xf numFmtId="0" fontId="20" fillId="0" borderId="1" xfId="0" applyFont="1" applyBorder="1" applyAlignment="1">
      <alignment horizontal="center" vertical="center"/>
    </xf>
    <xf numFmtId="0" fontId="16" fillId="0" borderId="20" xfId="0" applyFont="1" applyBorder="1" applyAlignment="1">
      <alignment horizontal="center" vertical="center"/>
    </xf>
    <xf numFmtId="0" fontId="20" fillId="0" borderId="20" xfId="0" applyFont="1" applyBorder="1" applyAlignment="1">
      <alignment horizontal="center" vertical="center"/>
    </xf>
    <xf numFmtId="0" fontId="16" fillId="0" borderId="20" xfId="0" applyFont="1" applyBorder="1" applyAlignment="1">
      <alignment horizontal="left" vertical="top" wrapText="1"/>
    </xf>
    <xf numFmtId="0" fontId="16" fillId="0" borderId="9" xfId="0" applyFont="1" applyBorder="1" applyAlignment="1">
      <alignment horizontal="center" vertical="center"/>
    </xf>
    <xf numFmtId="0" fontId="20" fillId="0" borderId="15" xfId="0" applyFont="1" applyBorder="1" applyAlignment="1">
      <alignment horizontal="center"/>
    </xf>
    <xf numFmtId="0" fontId="20" fillId="0" borderId="20" xfId="0" applyFont="1" applyBorder="1" applyAlignment="1">
      <alignment horizontal="center"/>
    </xf>
    <xf numFmtId="0" fontId="21" fillId="0" borderId="15" xfId="0" applyFont="1" applyBorder="1" applyAlignment="1">
      <alignment horizontal="left" vertical="top" wrapText="1"/>
    </xf>
    <xf numFmtId="0" fontId="0" fillId="0" borderId="1" xfId="0" applyBorder="1" applyAlignment="1">
      <alignment horizontal="center"/>
    </xf>
    <xf numFmtId="0" fontId="22" fillId="0" borderId="1"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left" vertical="top" wrapText="1"/>
    </xf>
    <xf numFmtId="0" fontId="22" fillId="0" borderId="0" xfId="0" applyFont="1" applyAlignment="1">
      <alignment horizontal="center" vertical="center"/>
    </xf>
    <xf numFmtId="0" fontId="0" fillId="0" borderId="27" xfId="0" applyBorder="1"/>
    <xf numFmtId="0" fontId="22" fillId="0" borderId="27" xfId="0" applyFont="1" applyBorder="1"/>
    <xf numFmtId="0" fontId="22" fillId="0" borderId="0" xfId="0" applyFont="1"/>
    <xf numFmtId="0" fontId="22" fillId="0" borderId="27" xfId="0" applyFont="1" applyBorder="1" applyAlignment="1">
      <alignment horizontal="center" vertical="center"/>
    </xf>
    <xf numFmtId="0" fontId="0" fillId="0" borderId="28" xfId="0" applyBorder="1"/>
    <xf numFmtId="0" fontId="0" fillId="0" borderId="29" xfId="0" applyBorder="1"/>
    <xf numFmtId="0" fontId="0" fillId="0" borderId="30" xfId="0" applyBorder="1" applyAlignment="1">
      <alignment horizontal="center" vertical="center"/>
    </xf>
    <xf numFmtId="0" fontId="0" fillId="0" borderId="31" xfId="0" applyBorder="1" applyAlignment="1">
      <alignment horizontal="center" vertical="center"/>
    </xf>
    <xf numFmtId="0" fontId="16" fillId="0" borderId="3" xfId="0" applyFont="1" applyBorder="1" applyAlignment="1">
      <alignment horizontal="left" vertical="top" wrapText="1"/>
    </xf>
    <xf numFmtId="0" fontId="0" fillId="0" borderId="32" xfId="0" applyBorder="1" applyAlignment="1">
      <alignment horizontal="center" vertical="center"/>
    </xf>
    <xf numFmtId="0" fontId="0" fillId="0" borderId="28" xfId="0" applyBorder="1" applyAlignment="1">
      <alignment horizontal="center"/>
    </xf>
    <xf numFmtId="0" fontId="0" fillId="0" borderId="29" xfId="0" applyBorder="1" applyAlignment="1">
      <alignment horizont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3" xfId="0" applyBorder="1" applyAlignment="1">
      <alignment horizontal="center" vertical="center"/>
    </xf>
    <xf numFmtId="0" fontId="16" fillId="0" borderId="24" xfId="0" applyFont="1" applyBorder="1" applyAlignment="1">
      <alignment horizontal="left" vertical="top" wrapText="1"/>
    </xf>
    <xf numFmtId="0" fontId="0" fillId="0" borderId="25" xfId="0" applyBorder="1" applyAlignment="1">
      <alignment horizontal="center" vertical="center"/>
    </xf>
    <xf numFmtId="0" fontId="16" fillId="0" borderId="29" xfId="0" applyFont="1" applyBorder="1" applyAlignment="1">
      <alignment horizontal="left" vertical="top" wrapText="1"/>
    </xf>
    <xf numFmtId="0" fontId="16" fillId="0" borderId="30" xfId="0" applyFont="1" applyBorder="1" applyAlignment="1">
      <alignment horizontal="center" vertical="center"/>
    </xf>
    <xf numFmtId="0" fontId="5" fillId="8" borderId="0" xfId="0" applyFont="1" applyFill="1"/>
    <xf numFmtId="0" fontId="14" fillId="7" borderId="23" xfId="0" applyFont="1" applyFill="1" applyBorder="1" applyAlignment="1">
      <alignment horizontal="center" vertical="center"/>
    </xf>
    <xf numFmtId="0" fontId="14" fillId="7" borderId="24" xfId="0" applyFont="1" applyFill="1" applyBorder="1" applyAlignment="1">
      <alignment horizontal="center" vertical="center"/>
    </xf>
    <xf numFmtId="0" fontId="14" fillId="7" borderId="25" xfId="0" applyFont="1" applyFill="1" applyBorder="1" applyAlignment="1">
      <alignment horizontal="center" vertical="center"/>
    </xf>
    <xf numFmtId="0" fontId="18" fillId="0" borderId="0" xfId="0" applyFont="1" applyAlignment="1">
      <alignment horizontal="left"/>
    </xf>
    <xf numFmtId="0" fontId="14" fillId="6" borderId="5" xfId="0" applyFont="1" applyFill="1" applyBorder="1" applyAlignment="1">
      <alignment horizontal="center"/>
    </xf>
    <xf numFmtId="0" fontId="15" fillId="0" borderId="6" xfId="0" applyFont="1" applyBorder="1"/>
    <xf numFmtId="0" fontId="15" fillId="0" borderId="7" xfId="0" applyFont="1" applyBorder="1"/>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5" fillId="0" borderId="0" xfId="0" applyFont="1" applyAlignment="1">
      <alignment horizontal="left"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5" fillId="0" borderId="0" xfId="0" applyFont="1" applyAlignment="1">
      <alignment horizontal="left" vertical="center" wrapText="1"/>
    </xf>
    <xf numFmtId="0" fontId="5" fillId="0" borderId="1" xfId="0" applyFont="1" applyBorder="1" applyAlignment="1">
      <alignment horizontal="left" vertical="center" wrapText="1"/>
    </xf>
    <xf numFmtId="0" fontId="6" fillId="8" borderId="22" xfId="0" applyFont="1" applyFill="1" applyBorder="1" applyAlignment="1">
      <alignment horizontal="left" vertical="center"/>
    </xf>
    <xf numFmtId="0" fontId="10" fillId="0" borderId="19" xfId="0" applyFont="1" applyBorder="1" applyAlignment="1">
      <alignment horizontal="center"/>
    </xf>
    <xf numFmtId="0" fontId="10" fillId="6" borderId="34" xfId="0" applyFont="1" applyFill="1" applyBorder="1" applyAlignment="1">
      <alignment horizontal="center"/>
    </xf>
    <xf numFmtId="0" fontId="10" fillId="0" borderId="21" xfId="0" applyFont="1" applyBorder="1" applyAlignment="1">
      <alignment horizontal="center"/>
    </xf>
    <xf numFmtId="0" fontId="10" fillId="0" borderId="35" xfId="0" applyFont="1" applyBorder="1" applyAlignment="1">
      <alignment horizontal="center"/>
    </xf>
    <xf numFmtId="0" fontId="10" fillId="6" borderId="1" xfId="0" applyFont="1" applyFill="1" applyBorder="1" applyAlignment="1">
      <alignment horizontal="center"/>
    </xf>
    <xf numFmtId="0" fontId="10" fillId="0" borderId="1" xfId="0" applyFont="1" applyBorder="1" applyAlignment="1">
      <alignment horizontal="center"/>
    </xf>
    <xf numFmtId="0" fontId="21" fillId="0" borderId="1" xfId="0" applyFont="1" applyBorder="1" applyAlignment="1">
      <alignment horizontal="left" vertical="top" wrapText="1"/>
    </xf>
    <xf numFmtId="0" fontId="10" fillId="0" borderId="33" xfId="0" applyFont="1" applyBorder="1" applyAlignment="1">
      <alignment horizontal="center"/>
    </xf>
    <xf numFmtId="0" fontId="10" fillId="0" borderId="36" xfId="0" applyFont="1" applyBorder="1" applyAlignment="1">
      <alignment horizontal="center"/>
    </xf>
    <xf numFmtId="0" fontId="10" fillId="0" borderId="34" xfId="0" applyFont="1" applyBorder="1" applyAlignment="1">
      <alignment horizontal="center"/>
    </xf>
    <xf numFmtId="0" fontId="0" fillId="0" borderId="1" xfId="0" applyFont="1" applyBorder="1" applyAlignment="1">
      <alignment horizontal="center" vertical="center" wrapText="1"/>
    </xf>
    <xf numFmtId="0" fontId="0" fillId="0" borderId="9" xfId="0" applyFont="1" applyBorder="1" applyAlignment="1">
      <alignment horizontal="center" vertical="center"/>
    </xf>
    <xf numFmtId="0" fontId="0" fillId="0" borderId="13" xfId="0" applyFont="1" applyBorder="1" applyAlignment="1">
      <alignment horizontal="center" vertical="center" wrapText="1"/>
    </xf>
    <xf numFmtId="0" fontId="0" fillId="0" borderId="1" xfId="0" applyFont="1" applyBorder="1"/>
    <xf numFmtId="165" fontId="0" fillId="0" borderId="1" xfId="1" applyNumberFormat="1" applyFont="1" applyBorder="1" applyAlignment="1"/>
    <xf numFmtId="10" fontId="0" fillId="0" borderId="1" xfId="2" applyNumberFormat="1" applyFont="1" applyBorder="1" applyAlignment="1"/>
    <xf numFmtId="165" fontId="0" fillId="0" borderId="1" xfId="0" applyNumberFormat="1" applyFont="1" applyBorder="1"/>
    <xf numFmtId="165" fontId="0" fillId="3" borderId="1" xfId="0" applyNumberFormat="1" applyFont="1" applyFill="1" applyBorder="1"/>
    <xf numFmtId="0" fontId="0" fillId="2" borderId="1" xfId="0" applyFont="1" applyFill="1" applyBorder="1"/>
    <xf numFmtId="9" fontId="0" fillId="0" borderId="1" xfId="2" applyFont="1" applyBorder="1" applyAlignment="1">
      <alignment horizontal="center" vertical="center"/>
    </xf>
    <xf numFmtId="0" fontId="0" fillId="0" borderId="19" xfId="0" applyFont="1" applyBorder="1" applyAlignment="1">
      <alignment horizontal="center"/>
    </xf>
    <xf numFmtId="0" fontId="0" fillId="0" borderId="15" xfId="0" applyFont="1" applyBorder="1" applyAlignment="1">
      <alignment horizontal="center" vertical="center"/>
    </xf>
    <xf numFmtId="0" fontId="0" fillId="0" borderId="8" xfId="0" applyFont="1" applyBorder="1" applyAlignment="1">
      <alignment horizontal="center" vertical="center" wrapText="1"/>
    </xf>
    <xf numFmtId="0" fontId="0" fillId="0" borderId="14" xfId="0" applyFont="1" applyBorder="1" applyAlignment="1">
      <alignment horizontal="center" vertical="center"/>
    </xf>
    <xf numFmtId="0" fontId="0" fillId="0" borderId="20" xfId="0" applyFont="1" applyBorder="1" applyAlignment="1">
      <alignment horizontal="center" vertical="center"/>
    </xf>
    <xf numFmtId="0" fontId="0" fillId="0" borderId="3" xfId="0" applyFont="1" applyBorder="1" applyAlignment="1">
      <alignment horizontal="center" vertical="center" wrapText="1"/>
    </xf>
    <xf numFmtId="0" fontId="0" fillId="0" borderId="21" xfId="0" applyFont="1" applyBorder="1" applyAlignment="1">
      <alignment horizontal="center" vertical="center" wrapText="1"/>
    </xf>
    <xf numFmtId="0" fontId="0" fillId="0" borderId="3" xfId="0" applyFont="1" applyBorder="1"/>
    <xf numFmtId="165" fontId="0" fillId="0" borderId="3" xfId="1" applyNumberFormat="1" applyFont="1" applyBorder="1" applyAlignment="1"/>
    <xf numFmtId="10" fontId="0" fillId="0" borderId="3" xfId="2" applyNumberFormat="1" applyFont="1" applyBorder="1" applyAlignment="1"/>
    <xf numFmtId="165" fontId="0" fillId="0" borderId="3" xfId="0" applyNumberFormat="1" applyFont="1" applyBorder="1"/>
    <xf numFmtId="165" fontId="0" fillId="3" borderId="3" xfId="0" applyNumberFormat="1" applyFont="1" applyFill="1" applyBorder="1"/>
    <xf numFmtId="0" fontId="0" fillId="2" borderId="3" xfId="0" applyFont="1" applyFill="1" applyBorder="1"/>
    <xf numFmtId="9" fontId="0" fillId="0" borderId="3" xfId="2" applyFont="1" applyBorder="1" applyAlignment="1">
      <alignment horizontal="center" vertical="center"/>
    </xf>
    <xf numFmtId="0" fontId="0" fillId="0" borderId="33" xfId="0" applyFont="1" applyBorder="1" applyAlignment="1">
      <alignment horizontal="center"/>
    </xf>
    <xf numFmtId="0" fontId="0" fillId="0" borderId="1" xfId="0" applyFont="1" applyBorder="1" applyAlignment="1">
      <alignment horizontal="center" vertical="center"/>
    </xf>
    <xf numFmtId="0" fontId="0" fillId="0" borderId="1" xfId="0" applyFont="1" applyBorder="1" applyAlignment="1">
      <alignment horizontal="center"/>
    </xf>
    <xf numFmtId="165" fontId="0" fillId="0" borderId="1" xfId="1" applyNumberFormat="1" applyFont="1" applyBorder="1" applyAlignment="1">
      <alignment horizontal="center"/>
    </xf>
    <xf numFmtId="10" fontId="0" fillId="0" borderId="1" xfId="2" applyNumberFormat="1" applyFont="1" applyBorder="1" applyAlignment="1">
      <alignment horizontal="center"/>
    </xf>
    <xf numFmtId="165" fontId="0" fillId="0" borderId="1" xfId="1" applyNumberFormat="1" applyFont="1" applyBorder="1"/>
    <xf numFmtId="0" fontId="0" fillId="0" borderId="1" xfId="0" applyFont="1" applyBorder="1" applyAlignment="1">
      <alignment horizontal="center" wrapText="1"/>
    </xf>
  </cellXfs>
  <cellStyles count="4">
    <cellStyle name="Comma" xfId="1" builtinId="3"/>
    <cellStyle name="Normal" xfId="0" builtinId="0"/>
    <cellStyle name="Normal 2" xfId="3" xr:uid="{FC2C27E6-2DFD-4DCA-B708-C49C0E5B9334}"/>
    <cellStyle name="Percent" xfId="2" builtinId="5"/>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28</xdr:col>
      <xdr:colOff>76200</xdr:colOff>
      <xdr:row>14</xdr:row>
      <xdr:rowOff>82550</xdr:rowOff>
    </xdr:from>
    <xdr:ext cx="1114425" cy="619125"/>
    <xdr:pic>
      <xdr:nvPicPr>
        <xdr:cNvPr id="2" name="image28.jpg" title="Gambar">
          <a:extLst>
            <a:ext uri="{FF2B5EF4-FFF2-40B4-BE49-F238E27FC236}">
              <a16:creationId xmlns:a16="http://schemas.microsoft.com/office/drawing/2014/main" id="{CFCBD74C-E17B-458E-92B8-D079BEBC7B86}"/>
            </a:ext>
          </a:extLst>
        </xdr:cNvPr>
        <xdr:cNvPicPr preferRelativeResize="0"/>
      </xdr:nvPicPr>
      <xdr:blipFill>
        <a:blip xmlns:r="http://schemas.openxmlformats.org/officeDocument/2006/relationships" r:embed="rId1" cstate="print"/>
        <a:stretch>
          <a:fillRect/>
        </a:stretch>
      </xdr:blipFill>
      <xdr:spPr>
        <a:xfrm>
          <a:off x="32468820" y="8700770"/>
          <a:ext cx="1114425" cy="619125"/>
        </a:xfrm>
        <a:prstGeom prst="rect">
          <a:avLst/>
        </a:prstGeom>
        <a:noFill/>
      </xdr:spPr>
    </xdr:pic>
    <xdr:clientData fLocksWithSheet="0"/>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11</v>
  </rv>
</rvData>
</file>

<file path=xl/richData/rdrichvaluestructure.xml><?xml version="1.0" encoding="utf-8"?>
<rvStructures xmlns="http://schemas.microsoft.com/office/spreadsheetml/2017/richdata" count="1">
  <s t="_error">
    <k n="error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1F5B3-38DA-4B8F-81FE-2E43D7475E20}">
  <dimension ref="A1:I54"/>
  <sheetViews>
    <sheetView workbookViewId="0">
      <selection activeCell="D1" sqref="D1"/>
    </sheetView>
  </sheetViews>
  <sheetFormatPr defaultColWidth="9.109375" defaultRowHeight="18" x14ac:dyDescent="0.35"/>
  <cols>
    <col min="1" max="1" width="14.5546875" style="4" customWidth="1"/>
    <col min="2" max="2" width="24.6640625" style="4" customWidth="1"/>
    <col min="3" max="3" width="20.44140625" style="4" customWidth="1"/>
    <col min="4" max="4" width="22.33203125" style="4" customWidth="1"/>
    <col min="5" max="5" width="22.44140625" style="4" bestFit="1" customWidth="1"/>
    <col min="6" max="6" width="24.21875" style="4" customWidth="1"/>
    <col min="7" max="7" width="28.44140625" style="4" bestFit="1" customWidth="1"/>
    <col min="8" max="8" width="22.109375" style="4" bestFit="1" customWidth="1"/>
    <col min="9" max="9" width="13" style="4" bestFit="1" customWidth="1"/>
    <col min="10" max="16384" width="9.109375" style="4"/>
  </cols>
  <sheetData>
    <row r="1" spans="1:8" x14ac:dyDescent="0.35">
      <c r="A1" s="11" t="s">
        <v>210</v>
      </c>
    </row>
    <row r="2" spans="1:8" x14ac:dyDescent="0.35">
      <c r="A2" s="11"/>
    </row>
    <row r="3" spans="1:8" ht="36" customHeight="1" x14ac:dyDescent="0.35">
      <c r="A3" s="96" t="s">
        <v>167</v>
      </c>
      <c r="B3" s="96"/>
      <c r="C3" s="96"/>
      <c r="D3" s="96"/>
      <c r="E3" s="96"/>
      <c r="F3" s="96"/>
      <c r="G3" s="96"/>
      <c r="H3" s="96"/>
    </row>
    <row r="4" spans="1:8" ht="79.5" customHeight="1" x14ac:dyDescent="0.35">
      <c r="A4" s="96" t="s">
        <v>168</v>
      </c>
      <c r="B4" s="96"/>
      <c r="C4" s="96"/>
      <c r="D4" s="96"/>
      <c r="E4" s="96"/>
      <c r="F4" s="96"/>
      <c r="G4" s="96"/>
      <c r="H4" s="96"/>
    </row>
    <row r="5" spans="1:8" x14ac:dyDescent="0.35">
      <c r="A5" s="11"/>
    </row>
    <row r="6" spans="1:8" x14ac:dyDescent="0.35">
      <c r="A6" s="4" t="s">
        <v>90</v>
      </c>
    </row>
    <row r="7" spans="1:8" x14ac:dyDescent="0.35">
      <c r="A7" s="4" t="s">
        <v>134</v>
      </c>
    </row>
    <row r="8" spans="1:8" x14ac:dyDescent="0.35">
      <c r="A8" s="4" t="s">
        <v>135</v>
      </c>
    </row>
    <row r="9" spans="1:8" x14ac:dyDescent="0.35">
      <c r="A9" s="4" t="s">
        <v>136</v>
      </c>
    </row>
    <row r="10" spans="1:8" x14ac:dyDescent="0.35">
      <c r="A10" s="4" t="s">
        <v>137</v>
      </c>
    </row>
    <row r="11" spans="1:8" x14ac:dyDescent="0.35">
      <c r="A11" s="4" t="s">
        <v>138</v>
      </c>
    </row>
    <row r="12" spans="1:8" x14ac:dyDescent="0.35">
      <c r="A12" s="4" t="s">
        <v>139</v>
      </c>
    </row>
    <row r="14" spans="1:8" x14ac:dyDescent="0.35">
      <c r="A14" s="11" t="s">
        <v>163</v>
      </c>
    </row>
    <row r="15" spans="1:8" x14ac:dyDescent="0.35">
      <c r="A15" s="11"/>
    </row>
    <row r="16" spans="1:8" x14ac:dyDescent="0.35">
      <c r="A16" s="11" t="s">
        <v>140</v>
      </c>
    </row>
    <row r="17" spans="1:1" x14ac:dyDescent="0.35">
      <c r="A17" s="4" t="s">
        <v>141</v>
      </c>
    </row>
    <row r="18" spans="1:1" x14ac:dyDescent="0.35">
      <c r="A18" s="4" t="s">
        <v>142</v>
      </c>
    </row>
    <row r="19" spans="1:1" x14ac:dyDescent="0.35">
      <c r="A19" s="4" t="s">
        <v>143</v>
      </c>
    </row>
    <row r="20" spans="1:1" x14ac:dyDescent="0.35">
      <c r="A20" s="4" t="s">
        <v>144</v>
      </c>
    </row>
    <row r="22" spans="1:1" x14ac:dyDescent="0.35">
      <c r="A22" s="11" t="s">
        <v>145</v>
      </c>
    </row>
    <row r="23" spans="1:1" x14ac:dyDescent="0.35">
      <c r="A23" s="4" t="s">
        <v>146</v>
      </c>
    </row>
    <row r="24" spans="1:1" x14ac:dyDescent="0.35">
      <c r="A24" s="4" t="s">
        <v>147</v>
      </c>
    </row>
    <row r="25" spans="1:1" x14ac:dyDescent="0.35">
      <c r="A25" s="4" t="s">
        <v>166</v>
      </c>
    </row>
    <row r="27" spans="1:1" x14ac:dyDescent="0.35">
      <c r="A27" s="11" t="s">
        <v>148</v>
      </c>
    </row>
    <row r="28" spans="1:1" x14ac:dyDescent="0.35">
      <c r="A28" s="4" t="s">
        <v>149</v>
      </c>
    </row>
    <row r="29" spans="1:1" x14ac:dyDescent="0.35">
      <c r="A29" s="4" t="s">
        <v>150</v>
      </c>
    </row>
    <row r="31" spans="1:1" x14ac:dyDescent="0.35">
      <c r="A31" s="11" t="s">
        <v>151</v>
      </c>
    </row>
    <row r="32" spans="1:1" x14ac:dyDescent="0.35">
      <c r="A32" s="4" t="s">
        <v>153</v>
      </c>
    </row>
    <row r="33" spans="1:9" x14ac:dyDescent="0.35">
      <c r="A33" s="11" t="s">
        <v>91</v>
      </c>
    </row>
    <row r="34" spans="1:9" x14ac:dyDescent="0.35">
      <c r="A34" s="12" t="s">
        <v>92</v>
      </c>
      <c r="B34" s="12" t="s">
        <v>82</v>
      </c>
      <c r="C34" s="12" t="s">
        <v>93</v>
      </c>
      <c r="D34" s="12" t="s">
        <v>94</v>
      </c>
      <c r="E34" s="12" t="s">
        <v>95</v>
      </c>
      <c r="F34" s="12" t="s">
        <v>96</v>
      </c>
      <c r="G34" s="12" t="s">
        <v>97</v>
      </c>
      <c r="H34" s="12" t="s">
        <v>98</v>
      </c>
      <c r="I34" s="12" t="s">
        <v>99</v>
      </c>
    </row>
    <row r="35" spans="1:9" x14ac:dyDescent="0.35">
      <c r="A35" s="4" t="s">
        <v>100</v>
      </c>
      <c r="B35" s="4" t="s">
        <v>101</v>
      </c>
      <c r="C35" s="4" t="s">
        <v>102</v>
      </c>
      <c r="D35" s="4" t="s">
        <v>103</v>
      </c>
      <c r="E35" s="4" t="s">
        <v>104</v>
      </c>
      <c r="F35" s="13">
        <v>15000000</v>
      </c>
      <c r="G35" s="4">
        <v>4</v>
      </c>
      <c r="H35" s="13">
        <v>7500000</v>
      </c>
      <c r="I35" s="4" t="s">
        <v>105</v>
      </c>
    </row>
    <row r="36" spans="1:9" x14ac:dyDescent="0.35">
      <c r="A36" s="4" t="s">
        <v>106</v>
      </c>
      <c r="B36" s="4" t="s">
        <v>107</v>
      </c>
      <c r="C36" s="4" t="s">
        <v>102</v>
      </c>
      <c r="D36" s="4" t="s">
        <v>108</v>
      </c>
      <c r="E36" s="4" t="s">
        <v>109</v>
      </c>
      <c r="F36" s="13">
        <v>2500000</v>
      </c>
      <c r="G36" s="4">
        <v>5</v>
      </c>
      <c r="H36" s="13">
        <v>1000000</v>
      </c>
      <c r="I36" s="4" t="s">
        <v>105</v>
      </c>
    </row>
    <row r="37" spans="1:9" x14ac:dyDescent="0.35">
      <c r="A37" s="4" t="s">
        <v>110</v>
      </c>
      <c r="B37" s="4" t="s">
        <v>111</v>
      </c>
      <c r="C37" s="4" t="s">
        <v>102</v>
      </c>
      <c r="D37" s="4" t="s">
        <v>112</v>
      </c>
      <c r="E37" s="4" t="s">
        <v>113</v>
      </c>
      <c r="F37" s="13">
        <v>5000000</v>
      </c>
      <c r="G37" s="4">
        <v>6</v>
      </c>
      <c r="H37" s="13">
        <v>2000000</v>
      </c>
      <c r="I37" s="4" t="s">
        <v>114</v>
      </c>
    </row>
    <row r="38" spans="1:9" x14ac:dyDescent="0.35">
      <c r="A38" s="4" t="s">
        <v>152</v>
      </c>
    </row>
    <row r="39" spans="1:9" x14ac:dyDescent="0.35">
      <c r="A39" s="11" t="s">
        <v>133</v>
      </c>
    </row>
    <row r="40" spans="1:9" x14ac:dyDescent="0.35">
      <c r="A40" s="12" t="s">
        <v>115</v>
      </c>
      <c r="B40" s="12" t="s">
        <v>116</v>
      </c>
      <c r="C40" s="12" t="s">
        <v>93</v>
      </c>
      <c r="D40" s="12" t="s">
        <v>117</v>
      </c>
      <c r="E40" s="12" t="s">
        <v>94</v>
      </c>
      <c r="F40" s="12" t="s">
        <v>118</v>
      </c>
      <c r="G40" s="12" t="s">
        <v>119</v>
      </c>
      <c r="H40" s="12" t="s">
        <v>120</v>
      </c>
      <c r="I40" s="12" t="s">
        <v>121</v>
      </c>
    </row>
    <row r="41" spans="1:9" x14ac:dyDescent="0.35">
      <c r="A41" s="4" t="s">
        <v>122</v>
      </c>
      <c r="B41" s="4" t="s">
        <v>123</v>
      </c>
      <c r="C41" s="4" t="s">
        <v>124</v>
      </c>
      <c r="D41" s="4" t="s">
        <v>125</v>
      </c>
      <c r="E41" s="4" t="s">
        <v>108</v>
      </c>
      <c r="F41" s="4">
        <v>50</v>
      </c>
      <c r="G41" s="4">
        <v>20</v>
      </c>
      <c r="H41" s="4">
        <v>30</v>
      </c>
      <c r="I41" s="4">
        <v>40</v>
      </c>
    </row>
    <row r="42" spans="1:9" x14ac:dyDescent="0.35">
      <c r="A42" s="4" t="s">
        <v>126</v>
      </c>
      <c r="B42" s="4" t="s">
        <v>127</v>
      </c>
      <c r="C42" s="4" t="s">
        <v>124</v>
      </c>
      <c r="D42" s="4" t="s">
        <v>128</v>
      </c>
      <c r="E42" s="4" t="s">
        <v>108</v>
      </c>
      <c r="F42" s="4">
        <v>20</v>
      </c>
      <c r="G42" s="4">
        <v>10</v>
      </c>
      <c r="H42" s="4">
        <v>15</v>
      </c>
      <c r="I42" s="4">
        <v>15</v>
      </c>
    </row>
    <row r="43" spans="1:9" x14ac:dyDescent="0.35">
      <c r="A43" s="4" t="s">
        <v>129</v>
      </c>
      <c r="B43" s="4" t="s">
        <v>130</v>
      </c>
      <c r="C43" s="4" t="s">
        <v>131</v>
      </c>
      <c r="D43" s="4" t="s">
        <v>132</v>
      </c>
      <c r="E43" s="4" t="s">
        <v>108</v>
      </c>
      <c r="F43" s="4">
        <v>30</v>
      </c>
      <c r="G43" s="4">
        <v>15</v>
      </c>
      <c r="H43" s="4">
        <v>20</v>
      </c>
      <c r="I43" s="4">
        <v>25</v>
      </c>
    </row>
    <row r="45" spans="1:9" x14ac:dyDescent="0.35">
      <c r="A45" s="11" t="s">
        <v>155</v>
      </c>
    </row>
    <row r="46" spans="1:9" x14ac:dyDescent="0.35">
      <c r="A46" s="4" t="s">
        <v>154</v>
      </c>
    </row>
    <row r="47" spans="1:9" x14ac:dyDescent="0.35">
      <c r="A47" s="4" t="s">
        <v>156</v>
      </c>
    </row>
    <row r="48" spans="1:9" x14ac:dyDescent="0.35">
      <c r="A48" s="4" t="s">
        <v>157</v>
      </c>
    </row>
    <row r="50" spans="1:1" x14ac:dyDescent="0.35">
      <c r="A50" s="11" t="s">
        <v>162</v>
      </c>
    </row>
    <row r="51" spans="1:1" x14ac:dyDescent="0.35">
      <c r="A51" s="4" t="s">
        <v>158</v>
      </c>
    </row>
    <row r="52" spans="1:1" x14ac:dyDescent="0.35">
      <c r="A52" s="4" t="s">
        <v>159</v>
      </c>
    </row>
    <row r="53" spans="1:1" x14ac:dyDescent="0.35">
      <c r="A53" s="4" t="s">
        <v>160</v>
      </c>
    </row>
    <row r="54" spans="1:1" x14ac:dyDescent="0.35">
      <c r="A54" s="4" t="s">
        <v>161</v>
      </c>
    </row>
  </sheetData>
  <mergeCells count="2">
    <mergeCell ref="A3:H3"/>
    <mergeCell ref="A4:H4"/>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2EF-5950-4193-8821-3D422AD95115}">
  <dimension ref="A1:B51"/>
  <sheetViews>
    <sheetView topLeftCell="A37" workbookViewId="0">
      <selection activeCell="B37" sqref="B37"/>
    </sheetView>
  </sheetViews>
  <sheetFormatPr defaultColWidth="9.109375" defaultRowHeight="18" x14ac:dyDescent="0.35"/>
  <cols>
    <col min="1" max="1" width="59.88671875" style="4" customWidth="1"/>
    <col min="2" max="2" width="109.88671875" style="4" customWidth="1"/>
    <col min="3" max="3" width="66.6640625" style="4" customWidth="1"/>
    <col min="4" max="16384" width="9.109375" style="4"/>
  </cols>
  <sheetData>
    <row r="1" spans="1:2" x14ac:dyDescent="0.35">
      <c r="A1" s="11" t="s">
        <v>165</v>
      </c>
    </row>
    <row r="3" spans="1:2" x14ac:dyDescent="0.35">
      <c r="A3" s="6" t="s">
        <v>169</v>
      </c>
      <c r="B3" s="6" t="s">
        <v>179</v>
      </c>
    </row>
    <row r="4" spans="1:2" x14ac:dyDescent="0.35">
      <c r="A4" s="6"/>
      <c r="B4" s="6" t="s">
        <v>180</v>
      </c>
    </row>
    <row r="5" spans="1:2" x14ac:dyDescent="0.35">
      <c r="A5" s="6"/>
      <c r="B5" s="6" t="s">
        <v>181</v>
      </c>
    </row>
    <row r="6" spans="1:2" x14ac:dyDescent="0.35">
      <c r="A6" s="6"/>
      <c r="B6" s="6"/>
    </row>
    <row r="7" spans="1:2" x14ac:dyDescent="0.35">
      <c r="A7" s="6" t="s">
        <v>170</v>
      </c>
      <c r="B7" s="6" t="s">
        <v>182</v>
      </c>
    </row>
    <row r="8" spans="1:2" x14ac:dyDescent="0.35">
      <c r="A8" s="6"/>
      <c r="B8" s="6" t="s">
        <v>183</v>
      </c>
    </row>
    <row r="9" spans="1:2" x14ac:dyDescent="0.35">
      <c r="A9" s="6"/>
      <c r="B9" s="6" t="s">
        <v>184</v>
      </c>
    </row>
    <row r="10" spans="1:2" x14ac:dyDescent="0.35">
      <c r="A10" s="6"/>
      <c r="B10" s="6"/>
    </row>
    <row r="11" spans="1:2" x14ac:dyDescent="0.35">
      <c r="A11" s="6" t="s">
        <v>171</v>
      </c>
      <c r="B11" s="6" t="s">
        <v>164</v>
      </c>
    </row>
    <row r="12" spans="1:2" x14ac:dyDescent="0.35">
      <c r="A12" s="6"/>
      <c r="B12" s="6" t="s">
        <v>185</v>
      </c>
    </row>
    <row r="13" spans="1:2" x14ac:dyDescent="0.35">
      <c r="A13" s="6"/>
      <c r="B13" s="6" t="s">
        <v>186</v>
      </c>
    </row>
    <row r="14" spans="1:2" x14ac:dyDescent="0.35">
      <c r="A14" s="6"/>
      <c r="B14" s="6" t="s">
        <v>187</v>
      </c>
    </row>
    <row r="15" spans="1:2" x14ac:dyDescent="0.35">
      <c r="A15" s="6"/>
      <c r="B15" s="6" t="s">
        <v>188</v>
      </c>
    </row>
    <row r="16" spans="1:2" x14ac:dyDescent="0.35">
      <c r="A16" s="6"/>
      <c r="B16" s="6" t="s">
        <v>189</v>
      </c>
    </row>
    <row r="17" spans="1:2" x14ac:dyDescent="0.35">
      <c r="A17" s="6"/>
      <c r="B17" s="6" t="s">
        <v>190</v>
      </c>
    </row>
    <row r="18" spans="1:2" x14ac:dyDescent="0.35">
      <c r="A18" s="6"/>
      <c r="B18" s="6"/>
    </row>
    <row r="19" spans="1:2" x14ac:dyDescent="0.35">
      <c r="A19" s="6" t="s">
        <v>172</v>
      </c>
      <c r="B19" s="6" t="s">
        <v>191</v>
      </c>
    </row>
    <row r="20" spans="1:2" x14ac:dyDescent="0.35">
      <c r="A20" s="6"/>
      <c r="B20" s="6" t="s">
        <v>192</v>
      </c>
    </row>
    <row r="21" spans="1:2" x14ac:dyDescent="0.35">
      <c r="A21" s="6"/>
      <c r="B21" s="6" t="s">
        <v>193</v>
      </c>
    </row>
    <row r="22" spans="1:2" x14ac:dyDescent="0.35">
      <c r="A22" s="6"/>
      <c r="B22" s="6"/>
    </row>
    <row r="23" spans="1:2" x14ac:dyDescent="0.35">
      <c r="A23" s="6" t="s">
        <v>173</v>
      </c>
      <c r="B23" s="6" t="s">
        <v>194</v>
      </c>
    </row>
    <row r="24" spans="1:2" x14ac:dyDescent="0.35">
      <c r="A24" s="6"/>
      <c r="B24" s="6" t="s">
        <v>195</v>
      </c>
    </row>
    <row r="25" spans="1:2" x14ac:dyDescent="0.35">
      <c r="A25" s="6"/>
      <c r="B25" s="6"/>
    </row>
    <row r="26" spans="1:2" x14ac:dyDescent="0.35">
      <c r="A26" s="6" t="s">
        <v>174</v>
      </c>
      <c r="B26" s="6" t="s">
        <v>196</v>
      </c>
    </row>
    <row r="27" spans="1:2" x14ac:dyDescent="0.35">
      <c r="A27" s="6"/>
      <c r="B27" s="6" t="s">
        <v>197</v>
      </c>
    </row>
    <row r="28" spans="1:2" x14ac:dyDescent="0.35">
      <c r="A28" s="6"/>
      <c r="B28" s="6" t="s">
        <v>198</v>
      </c>
    </row>
    <row r="29" spans="1:2" x14ac:dyDescent="0.35">
      <c r="A29" s="6"/>
      <c r="B29" s="6"/>
    </row>
    <row r="30" spans="1:2" x14ac:dyDescent="0.35">
      <c r="A30" s="6" t="s">
        <v>175</v>
      </c>
      <c r="B30" s="6" t="s">
        <v>199</v>
      </c>
    </row>
    <row r="31" spans="1:2" x14ac:dyDescent="0.35">
      <c r="A31" s="6"/>
      <c r="B31" s="6" t="s">
        <v>200</v>
      </c>
    </row>
    <row r="32" spans="1:2" x14ac:dyDescent="0.35">
      <c r="A32" s="6"/>
      <c r="B32" s="6" t="s">
        <v>201</v>
      </c>
    </row>
    <row r="33" spans="1:2" x14ac:dyDescent="0.35">
      <c r="A33" s="6"/>
      <c r="B33" s="6"/>
    </row>
    <row r="34" spans="1:2" x14ac:dyDescent="0.35">
      <c r="A34" s="6" t="s">
        <v>176</v>
      </c>
      <c r="B34" s="6" t="s">
        <v>202</v>
      </c>
    </row>
    <row r="35" spans="1:2" x14ac:dyDescent="0.35">
      <c r="A35" s="6"/>
      <c r="B35" s="6" t="s">
        <v>203</v>
      </c>
    </row>
    <row r="36" spans="1:2" x14ac:dyDescent="0.35">
      <c r="A36" s="6"/>
      <c r="B36" s="6" t="s">
        <v>204</v>
      </c>
    </row>
    <row r="37" spans="1:2" x14ac:dyDescent="0.35">
      <c r="A37" s="6"/>
      <c r="B37" s="6"/>
    </row>
    <row r="38" spans="1:2" x14ac:dyDescent="0.35">
      <c r="A38" s="6" t="s">
        <v>177</v>
      </c>
      <c r="B38" s="6" t="s">
        <v>205</v>
      </c>
    </row>
    <row r="39" spans="1:2" x14ac:dyDescent="0.35">
      <c r="A39" s="6"/>
      <c r="B39" s="6" t="s">
        <v>206</v>
      </c>
    </row>
    <row r="40" spans="1:2" x14ac:dyDescent="0.35">
      <c r="A40" s="6"/>
      <c r="B40" s="6"/>
    </row>
    <row r="41" spans="1:2" x14ac:dyDescent="0.35">
      <c r="A41" s="6" t="s">
        <v>178</v>
      </c>
      <c r="B41" s="6" t="s">
        <v>207</v>
      </c>
    </row>
    <row r="42" spans="1:2" x14ac:dyDescent="0.35">
      <c r="A42" s="6"/>
      <c r="B42" s="6" t="s">
        <v>208</v>
      </c>
    </row>
    <row r="43" spans="1:2" x14ac:dyDescent="0.35">
      <c r="A43" s="6"/>
      <c r="B43" s="6" t="s">
        <v>209</v>
      </c>
    </row>
    <row r="46" spans="1:2" x14ac:dyDescent="0.35">
      <c r="A46" s="11" t="s">
        <v>211</v>
      </c>
    </row>
    <row r="47" spans="1:2" x14ac:dyDescent="0.35">
      <c r="A47" s="14" t="s">
        <v>212</v>
      </c>
      <c r="B47" s="14" t="s">
        <v>213</v>
      </c>
    </row>
    <row r="48" spans="1:2" ht="36" x14ac:dyDescent="0.35">
      <c r="A48" s="15" t="s">
        <v>214</v>
      </c>
      <c r="B48" s="16" t="s">
        <v>215</v>
      </c>
    </row>
    <row r="49" spans="1:2" ht="36" x14ac:dyDescent="0.35">
      <c r="A49" s="15" t="s">
        <v>216</v>
      </c>
      <c r="B49" s="16" t="s">
        <v>217</v>
      </c>
    </row>
    <row r="50" spans="1:2" ht="36" x14ac:dyDescent="0.35">
      <c r="A50" s="15" t="s">
        <v>218</v>
      </c>
      <c r="B50" s="16" t="s">
        <v>219</v>
      </c>
    </row>
    <row r="51" spans="1:2" x14ac:dyDescent="0.35">
      <c r="A51" s="15" t="s">
        <v>220</v>
      </c>
      <c r="B51" s="15" t="s">
        <v>221</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0EF2-1706-4C56-8147-94DBF16036FC}">
  <dimension ref="A1:B12"/>
  <sheetViews>
    <sheetView workbookViewId="0">
      <selection activeCell="B11" sqref="B11"/>
    </sheetView>
  </sheetViews>
  <sheetFormatPr defaultRowHeight="14.4" x14ac:dyDescent="0.3"/>
  <cols>
    <col min="1" max="1" width="30" bestFit="1" customWidth="1"/>
    <col min="2" max="2" width="86.109375" customWidth="1"/>
  </cols>
  <sheetData>
    <row r="1" spans="1:2" ht="23.4" x14ac:dyDescent="0.45">
      <c r="A1" s="22" t="s">
        <v>222</v>
      </c>
    </row>
    <row r="2" spans="1:2" x14ac:dyDescent="0.3">
      <c r="A2" s="23"/>
    </row>
    <row r="3" spans="1:2" ht="18" x14ac:dyDescent="0.35">
      <c r="A3" s="24" t="s">
        <v>223</v>
      </c>
      <c r="B3" s="24" t="s">
        <v>35</v>
      </c>
    </row>
    <row r="4" spans="1:2" ht="18" x14ac:dyDescent="0.35">
      <c r="A4" s="97" t="s">
        <v>224</v>
      </c>
      <c r="B4" s="6" t="s">
        <v>225</v>
      </c>
    </row>
    <row r="5" spans="1:2" ht="36" x14ac:dyDescent="0.35">
      <c r="A5" s="98"/>
      <c r="B5" s="21" t="s">
        <v>226</v>
      </c>
    </row>
    <row r="6" spans="1:2" ht="18" x14ac:dyDescent="0.35">
      <c r="A6" s="98"/>
      <c r="B6" s="6" t="s">
        <v>227</v>
      </c>
    </row>
    <row r="7" spans="1:2" ht="18" x14ac:dyDescent="0.35">
      <c r="A7" s="99"/>
      <c r="B7" s="6" t="s">
        <v>228</v>
      </c>
    </row>
    <row r="8" spans="1:2" ht="18" x14ac:dyDescent="0.35">
      <c r="A8" s="6"/>
      <c r="B8" s="6"/>
    </row>
    <row r="9" spans="1:2" ht="18" x14ac:dyDescent="0.35">
      <c r="A9" s="8" t="s">
        <v>229</v>
      </c>
      <c r="B9" s="6" t="s">
        <v>230</v>
      </c>
    </row>
    <row r="10" spans="1:2" ht="18" x14ac:dyDescent="0.35">
      <c r="A10" s="5"/>
      <c r="B10" s="6"/>
    </row>
    <row r="11" spans="1:2" ht="54" x14ac:dyDescent="0.35">
      <c r="A11" s="97" t="s">
        <v>231</v>
      </c>
      <c r="B11" s="21" t="s">
        <v>232</v>
      </c>
    </row>
    <row r="12" spans="1:2" ht="36" x14ac:dyDescent="0.35">
      <c r="A12" s="99"/>
      <c r="B12" s="25" t="s">
        <v>233</v>
      </c>
    </row>
  </sheetData>
  <mergeCells count="2">
    <mergeCell ref="A4:A7"/>
    <mergeCell ref="A11:A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8CF6-5221-498A-941C-1DA2C4B893FD}">
  <dimension ref="A1:C102"/>
  <sheetViews>
    <sheetView topLeftCell="A46" workbookViewId="0">
      <selection activeCell="B54" sqref="B54:B59"/>
    </sheetView>
  </sheetViews>
  <sheetFormatPr defaultRowHeight="14.4" x14ac:dyDescent="0.3"/>
  <cols>
    <col min="1" max="1" width="19.109375" customWidth="1"/>
    <col min="2" max="2" width="63.109375" customWidth="1"/>
    <col min="3" max="3" width="51" customWidth="1"/>
  </cols>
  <sheetData>
    <row r="1" spans="1:3" ht="31.2" x14ac:dyDescent="0.65">
      <c r="A1" s="1" t="s">
        <v>26</v>
      </c>
    </row>
    <row r="4" spans="1:3" s="4" customFormat="1" ht="52.5" customHeight="1" x14ac:dyDescent="0.35">
      <c r="A4" s="100" t="s">
        <v>27</v>
      </c>
      <c r="B4" s="100"/>
      <c r="C4" s="100"/>
    </row>
    <row r="5" spans="1:3" s="4" customFormat="1" ht="18" x14ac:dyDescent="0.35">
      <c r="A5" s="4" t="s">
        <v>0</v>
      </c>
    </row>
    <row r="6" spans="1:3" s="4" customFormat="1" ht="42.75" customHeight="1" x14ac:dyDescent="0.35">
      <c r="A6" s="100" t="s">
        <v>1</v>
      </c>
      <c r="B6" s="100"/>
      <c r="C6" s="100"/>
    </row>
    <row r="7" spans="1:3" s="4" customFormat="1" ht="18" x14ac:dyDescent="0.35">
      <c r="A7" s="4" t="s">
        <v>2</v>
      </c>
    </row>
    <row r="8" spans="1:3" s="4" customFormat="1" ht="18" x14ac:dyDescent="0.35"/>
    <row r="9" spans="1:3" s="4" customFormat="1" ht="18" x14ac:dyDescent="0.35">
      <c r="A9" s="5" t="s">
        <v>9</v>
      </c>
      <c r="B9" s="6"/>
    </row>
    <row r="10" spans="1:3" s="4" customFormat="1" ht="18" x14ac:dyDescent="0.35">
      <c r="A10" s="6">
        <v>100</v>
      </c>
      <c r="B10" s="6" t="s">
        <v>3</v>
      </c>
    </row>
    <row r="11" spans="1:3" s="4" customFormat="1" ht="18" x14ac:dyDescent="0.35">
      <c r="A11" s="6">
        <v>110</v>
      </c>
      <c r="B11" s="6" t="s">
        <v>4</v>
      </c>
    </row>
    <row r="12" spans="1:3" s="4" customFormat="1" ht="18" x14ac:dyDescent="0.35">
      <c r="A12" s="6">
        <v>120</v>
      </c>
      <c r="B12" s="6" t="s">
        <v>5</v>
      </c>
    </row>
    <row r="13" spans="1:3" s="4" customFormat="1" ht="18" x14ac:dyDescent="0.35">
      <c r="A13" s="6">
        <v>130</v>
      </c>
      <c r="B13" s="6" t="s">
        <v>6</v>
      </c>
    </row>
    <row r="14" spans="1:3" s="4" customFormat="1" ht="18" x14ac:dyDescent="0.35">
      <c r="A14" s="6">
        <v>140</v>
      </c>
      <c r="B14" s="6" t="s">
        <v>7</v>
      </c>
    </row>
    <row r="15" spans="1:3" s="4" customFormat="1" ht="18" x14ac:dyDescent="0.35">
      <c r="A15" s="6">
        <v>150</v>
      </c>
      <c r="B15" s="6" t="s">
        <v>8</v>
      </c>
    </row>
    <row r="16" spans="1:3" s="4" customFormat="1" ht="18" x14ac:dyDescent="0.35">
      <c r="A16" s="5" t="s">
        <v>14</v>
      </c>
      <c r="B16" s="6"/>
    </row>
    <row r="17" spans="1:2" s="4" customFormat="1" ht="18" x14ac:dyDescent="0.35">
      <c r="A17" s="6">
        <v>200</v>
      </c>
      <c r="B17" s="6" t="s">
        <v>10</v>
      </c>
    </row>
    <row r="18" spans="1:2" s="4" customFormat="1" ht="18" x14ac:dyDescent="0.35">
      <c r="A18" s="6">
        <v>210</v>
      </c>
      <c r="B18" s="6" t="s">
        <v>11</v>
      </c>
    </row>
    <row r="19" spans="1:2" s="4" customFormat="1" ht="18" x14ac:dyDescent="0.35">
      <c r="A19" s="6">
        <v>220</v>
      </c>
      <c r="B19" s="6" t="s">
        <v>13</v>
      </c>
    </row>
    <row r="20" spans="1:2" s="4" customFormat="1" ht="18" x14ac:dyDescent="0.35">
      <c r="A20" s="6">
        <v>230</v>
      </c>
      <c r="B20" s="6" t="s">
        <v>12</v>
      </c>
    </row>
    <row r="21" spans="1:2" s="4" customFormat="1" ht="18" x14ac:dyDescent="0.35">
      <c r="A21" s="5" t="s">
        <v>15</v>
      </c>
      <c r="B21" s="6"/>
    </row>
    <row r="22" spans="1:2" s="4" customFormat="1" ht="18" x14ac:dyDescent="0.35">
      <c r="A22" s="6">
        <v>300</v>
      </c>
      <c r="B22" s="6" t="s">
        <v>16</v>
      </c>
    </row>
    <row r="23" spans="1:2" s="4" customFormat="1" ht="18" x14ac:dyDescent="0.35">
      <c r="A23" s="6">
        <v>310</v>
      </c>
      <c r="B23" s="6" t="s">
        <v>17</v>
      </c>
    </row>
    <row r="24" spans="1:2" s="4" customFormat="1" ht="18" x14ac:dyDescent="0.35">
      <c r="A24" s="6">
        <v>320</v>
      </c>
      <c r="B24" s="6" t="s">
        <v>18</v>
      </c>
    </row>
    <row r="25" spans="1:2" s="4" customFormat="1" ht="18" x14ac:dyDescent="0.35">
      <c r="A25" s="5" t="s">
        <v>19</v>
      </c>
      <c r="B25" s="6"/>
    </row>
    <row r="26" spans="1:2" s="4" customFormat="1" ht="18" x14ac:dyDescent="0.35">
      <c r="A26" s="6">
        <v>400</v>
      </c>
      <c r="B26" s="6" t="s">
        <v>20</v>
      </c>
    </row>
    <row r="27" spans="1:2" s="4" customFormat="1" ht="18" x14ac:dyDescent="0.35">
      <c r="A27" s="6">
        <v>410</v>
      </c>
      <c r="B27" s="6" t="s">
        <v>21</v>
      </c>
    </row>
    <row r="28" spans="1:2" s="4" customFormat="1" ht="18" x14ac:dyDescent="0.35">
      <c r="A28" s="5" t="s">
        <v>22</v>
      </c>
      <c r="B28" s="6"/>
    </row>
    <row r="29" spans="1:2" s="4" customFormat="1" ht="18" x14ac:dyDescent="0.35">
      <c r="A29" s="6">
        <v>400</v>
      </c>
      <c r="B29" s="6" t="s">
        <v>23</v>
      </c>
    </row>
    <row r="30" spans="1:2" s="4" customFormat="1" ht="18" x14ac:dyDescent="0.35">
      <c r="A30" s="6">
        <v>401</v>
      </c>
      <c r="B30" s="6" t="s">
        <v>24</v>
      </c>
    </row>
    <row r="31" spans="1:2" s="4" customFormat="1" ht="18" x14ac:dyDescent="0.35">
      <c r="A31" s="6"/>
      <c r="B31" s="6" t="s">
        <v>25</v>
      </c>
    </row>
    <row r="33" spans="1:3" ht="31.2" x14ac:dyDescent="0.65">
      <c r="A33" s="2" t="s">
        <v>60</v>
      </c>
    </row>
    <row r="35" spans="1:3" ht="15" x14ac:dyDescent="0.3">
      <c r="A35" s="3" t="s">
        <v>28</v>
      </c>
    </row>
    <row r="36" spans="1:3" s="4" customFormat="1" ht="96.75" customHeight="1" x14ac:dyDescent="0.35">
      <c r="A36" s="96" t="s">
        <v>37</v>
      </c>
      <c r="B36" s="96"/>
      <c r="C36" s="96"/>
    </row>
    <row r="37" spans="1:3" s="4" customFormat="1" ht="19.2" x14ac:dyDescent="0.4">
      <c r="A37" s="7"/>
    </row>
    <row r="38" spans="1:3" s="4" customFormat="1" ht="18" x14ac:dyDescent="0.35">
      <c r="A38" s="8" t="s">
        <v>29</v>
      </c>
      <c r="B38" s="8" t="s">
        <v>34</v>
      </c>
      <c r="C38" s="9" t="s">
        <v>35</v>
      </c>
    </row>
    <row r="39" spans="1:3" s="4" customFormat="1" ht="18" x14ac:dyDescent="0.35">
      <c r="A39" s="6" t="s">
        <v>30</v>
      </c>
      <c r="B39" s="6" t="s">
        <v>47</v>
      </c>
      <c r="C39" s="101" t="s">
        <v>50</v>
      </c>
    </row>
    <row r="40" spans="1:3" s="4" customFormat="1" ht="18" x14ac:dyDescent="0.35">
      <c r="A40" s="6" t="s">
        <v>32</v>
      </c>
      <c r="B40" s="6" t="s">
        <v>49</v>
      </c>
      <c r="C40" s="101"/>
    </row>
    <row r="41" spans="1:3" s="4" customFormat="1" ht="18" x14ac:dyDescent="0.35">
      <c r="A41" s="6" t="s">
        <v>38</v>
      </c>
      <c r="B41" s="6" t="s">
        <v>48</v>
      </c>
      <c r="C41" s="101"/>
    </row>
    <row r="42" spans="1:3" s="4" customFormat="1" ht="18" x14ac:dyDescent="0.35">
      <c r="A42" s="6" t="s">
        <v>41</v>
      </c>
      <c r="B42" s="6" t="s">
        <v>33</v>
      </c>
      <c r="C42" s="10" t="s">
        <v>36</v>
      </c>
    </row>
    <row r="43" spans="1:3" s="4" customFormat="1" ht="18" x14ac:dyDescent="0.35">
      <c r="A43" s="6" t="s">
        <v>44</v>
      </c>
      <c r="B43" s="6" t="s">
        <v>31</v>
      </c>
      <c r="C43" s="6" t="s">
        <v>40</v>
      </c>
    </row>
    <row r="44" spans="1:3" s="4" customFormat="1" ht="18" x14ac:dyDescent="0.35">
      <c r="A44" s="6" t="s">
        <v>51</v>
      </c>
      <c r="B44" s="6" t="s">
        <v>58</v>
      </c>
      <c r="C44" s="6" t="s">
        <v>59</v>
      </c>
    </row>
    <row r="45" spans="1:3" s="4" customFormat="1" ht="18" x14ac:dyDescent="0.35">
      <c r="A45" s="6" t="s">
        <v>52</v>
      </c>
      <c r="B45" s="6" t="s">
        <v>39</v>
      </c>
      <c r="C45" s="6" t="s">
        <v>57</v>
      </c>
    </row>
    <row r="46" spans="1:3" s="4" customFormat="1" ht="18" x14ac:dyDescent="0.35">
      <c r="A46" s="6" t="s">
        <v>53</v>
      </c>
      <c r="B46" s="6" t="s">
        <v>42</v>
      </c>
      <c r="C46" s="6" t="s">
        <v>43</v>
      </c>
    </row>
    <row r="47" spans="1:3" s="4" customFormat="1" ht="18" x14ac:dyDescent="0.35">
      <c r="A47" s="6" t="s">
        <v>54</v>
      </c>
      <c r="B47" s="6" t="s">
        <v>45</v>
      </c>
      <c r="C47" s="6" t="s">
        <v>46</v>
      </c>
    </row>
    <row r="48" spans="1:3" s="4" customFormat="1" ht="18" x14ac:dyDescent="0.35">
      <c r="A48" s="6" t="s">
        <v>61</v>
      </c>
      <c r="B48" s="6" t="s">
        <v>55</v>
      </c>
      <c r="C48" s="6" t="s">
        <v>56</v>
      </c>
    </row>
    <row r="49" spans="1:3" s="4" customFormat="1" ht="18" x14ac:dyDescent="0.35"/>
    <row r="50" spans="1:3" s="4" customFormat="1" ht="19.2" x14ac:dyDescent="0.4">
      <c r="A50" s="7" t="s">
        <v>62</v>
      </c>
    </row>
    <row r="51" spans="1:3" s="4" customFormat="1" ht="18" x14ac:dyDescent="0.35">
      <c r="A51" s="4" t="s">
        <v>63</v>
      </c>
    </row>
    <row r="52" spans="1:3" s="4" customFormat="1" ht="18" x14ac:dyDescent="0.35"/>
    <row r="53" spans="1:3" s="4" customFormat="1" ht="18" x14ac:dyDescent="0.35">
      <c r="A53" s="8" t="s">
        <v>29</v>
      </c>
      <c r="B53" s="8" t="s">
        <v>34</v>
      </c>
      <c r="C53" s="9" t="s">
        <v>35</v>
      </c>
    </row>
    <row r="54" spans="1:3" s="4" customFormat="1" ht="18" x14ac:dyDescent="0.35">
      <c r="A54" s="6" t="s">
        <v>64</v>
      </c>
      <c r="B54" s="6" t="s">
        <v>65</v>
      </c>
      <c r="C54" s="6"/>
    </row>
    <row r="55" spans="1:3" s="4" customFormat="1" ht="18" x14ac:dyDescent="0.35">
      <c r="A55" s="6" t="s">
        <v>66</v>
      </c>
      <c r="B55" s="6" t="s">
        <v>67</v>
      </c>
      <c r="C55" s="6"/>
    </row>
    <row r="56" spans="1:3" s="4" customFormat="1" ht="18" x14ac:dyDescent="0.35">
      <c r="A56" s="6" t="s">
        <v>68</v>
      </c>
      <c r="B56" s="6" t="s">
        <v>69</v>
      </c>
      <c r="C56" s="6" t="s">
        <v>75</v>
      </c>
    </row>
    <row r="57" spans="1:3" s="4" customFormat="1" ht="18" x14ac:dyDescent="0.35">
      <c r="A57" s="6" t="s">
        <v>70</v>
      </c>
      <c r="B57" s="6" t="s">
        <v>73</v>
      </c>
      <c r="C57" s="6" t="s">
        <v>77</v>
      </c>
    </row>
    <row r="58" spans="1:3" s="4" customFormat="1" ht="18" x14ac:dyDescent="0.35">
      <c r="A58" s="6" t="s">
        <v>72</v>
      </c>
      <c r="B58" s="6" t="s">
        <v>71</v>
      </c>
      <c r="C58" s="6" t="s">
        <v>76</v>
      </c>
    </row>
    <row r="59" spans="1:3" s="4" customFormat="1" ht="18" x14ac:dyDescent="0.35">
      <c r="A59" s="6" t="s">
        <v>74</v>
      </c>
      <c r="B59" s="6" t="s">
        <v>79</v>
      </c>
      <c r="C59" s="6" t="s">
        <v>78</v>
      </c>
    </row>
    <row r="60" spans="1:3" s="4" customFormat="1" ht="18" x14ac:dyDescent="0.35"/>
    <row r="61" spans="1:3" s="4" customFormat="1" ht="18" x14ac:dyDescent="0.35"/>
    <row r="62" spans="1:3" s="4" customFormat="1" ht="18" x14ac:dyDescent="0.35"/>
    <row r="63" spans="1:3" s="4" customFormat="1" ht="18" x14ac:dyDescent="0.35"/>
    <row r="64" spans="1:3" s="4" customFormat="1" ht="18" x14ac:dyDescent="0.35"/>
    <row r="65" s="4" customFormat="1" ht="18" x14ac:dyDescent="0.35"/>
    <row r="66" s="4" customFormat="1" ht="18" x14ac:dyDescent="0.35"/>
    <row r="67" s="4" customFormat="1" ht="18" x14ac:dyDescent="0.35"/>
    <row r="68" s="4" customFormat="1" ht="18" x14ac:dyDescent="0.35"/>
    <row r="69" s="4" customFormat="1" ht="18" x14ac:dyDescent="0.35"/>
    <row r="70" s="4" customFormat="1" ht="18" x14ac:dyDescent="0.35"/>
    <row r="71" s="4" customFormat="1" ht="18" x14ac:dyDescent="0.35"/>
    <row r="72" s="4" customFormat="1" ht="18" x14ac:dyDescent="0.35"/>
    <row r="73" s="4" customFormat="1" ht="18" x14ac:dyDescent="0.35"/>
    <row r="74" s="4" customFormat="1" ht="18" x14ac:dyDescent="0.35"/>
    <row r="75" s="4" customFormat="1" ht="18" x14ac:dyDescent="0.35"/>
    <row r="76" s="4" customFormat="1" ht="18" x14ac:dyDescent="0.35"/>
    <row r="77" s="4" customFormat="1" ht="18" x14ac:dyDescent="0.35"/>
    <row r="78" s="4" customFormat="1" ht="18" x14ac:dyDescent="0.35"/>
    <row r="79" s="4" customFormat="1" ht="18" x14ac:dyDescent="0.35"/>
    <row r="80" s="4" customFormat="1" ht="18" x14ac:dyDescent="0.35"/>
    <row r="81" s="4" customFormat="1" ht="18" x14ac:dyDescent="0.35"/>
    <row r="82" s="4" customFormat="1" ht="18" x14ac:dyDescent="0.35"/>
    <row r="83" s="4" customFormat="1" ht="18" x14ac:dyDescent="0.35"/>
    <row r="84" s="4" customFormat="1" ht="18" x14ac:dyDescent="0.35"/>
    <row r="85" s="4" customFormat="1" ht="18" x14ac:dyDescent="0.35"/>
    <row r="86" s="4" customFormat="1" ht="18" x14ac:dyDescent="0.35"/>
    <row r="87" s="4" customFormat="1" ht="18" x14ac:dyDescent="0.35"/>
    <row r="88" s="4" customFormat="1" ht="18" x14ac:dyDescent="0.35"/>
    <row r="89" s="4" customFormat="1" ht="18" x14ac:dyDescent="0.35"/>
    <row r="90" s="4" customFormat="1" ht="18" x14ac:dyDescent="0.35"/>
    <row r="91" s="4" customFormat="1" ht="18" x14ac:dyDescent="0.35"/>
    <row r="92" s="4" customFormat="1" ht="18" x14ac:dyDescent="0.35"/>
    <row r="93" s="4" customFormat="1" ht="18" x14ac:dyDescent="0.35"/>
    <row r="94" s="4" customFormat="1" ht="18" x14ac:dyDescent="0.35"/>
    <row r="95" s="4" customFormat="1" ht="18" x14ac:dyDescent="0.35"/>
    <row r="96" s="4" customFormat="1" ht="18" x14ac:dyDescent="0.35"/>
    <row r="97" s="4" customFormat="1" ht="18" x14ac:dyDescent="0.35"/>
    <row r="98" s="4" customFormat="1" ht="18" x14ac:dyDescent="0.35"/>
    <row r="99" s="4" customFormat="1" ht="18" x14ac:dyDescent="0.35"/>
    <row r="100" s="4" customFormat="1" ht="18" x14ac:dyDescent="0.35"/>
    <row r="101" s="4" customFormat="1" ht="18" x14ac:dyDescent="0.35"/>
    <row r="102" s="4" customFormat="1" ht="18" x14ac:dyDescent="0.35"/>
  </sheetData>
  <mergeCells count="4">
    <mergeCell ref="A36:C36"/>
    <mergeCell ref="A4:C4"/>
    <mergeCell ref="A6:C6"/>
    <mergeCell ref="C39:C41"/>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9BE1A-CA83-4704-9A0A-B0E10E7D7909}">
  <dimension ref="A1:BS158"/>
  <sheetViews>
    <sheetView tabSelected="1" zoomScale="122" zoomScaleNormal="122" workbookViewId="0">
      <pane xSplit="2" topLeftCell="C1" activePane="topRight" state="frozen"/>
      <selection pane="topRight" activeCell="D37" sqref="D37:D158"/>
    </sheetView>
  </sheetViews>
  <sheetFormatPr defaultRowHeight="14.4" x14ac:dyDescent="0.3"/>
  <cols>
    <col min="1" max="1" width="16.33203125" customWidth="1"/>
    <col min="2" max="2" width="21.21875" customWidth="1"/>
    <col min="3" max="3" width="17.44140625" customWidth="1"/>
    <col min="4" max="4" width="10.88671875" style="44" customWidth="1"/>
    <col min="5" max="5" width="10.21875" customWidth="1"/>
    <col min="6" max="6" width="16.33203125" customWidth="1"/>
    <col min="7" max="7" width="13.109375" customWidth="1"/>
    <col min="8" max="8" width="13.44140625" customWidth="1"/>
    <col min="9" max="9" width="14.6640625" customWidth="1"/>
    <col min="10" max="10" width="12" customWidth="1"/>
    <col min="11" max="11" width="12.44140625" customWidth="1"/>
    <col min="12" max="12" width="13.33203125" bestFit="1" customWidth="1"/>
    <col min="13" max="13" width="15.77734375" customWidth="1"/>
    <col min="14" max="14" width="16.6640625" customWidth="1"/>
    <col min="15" max="15" width="0.21875" customWidth="1"/>
    <col min="16" max="16" width="14.6640625" customWidth="1"/>
    <col min="17" max="17" width="15.21875" customWidth="1"/>
    <col min="18" max="18" width="13.21875" customWidth="1"/>
    <col min="19" max="19" width="13.88671875" customWidth="1"/>
    <col min="20" max="20" width="8.5546875" customWidth="1"/>
    <col min="22" max="22" width="16.5546875" customWidth="1"/>
    <col min="23" max="71" width="8.88671875" hidden="1" customWidth="1"/>
    <col min="72" max="80" width="8.88671875" customWidth="1"/>
  </cols>
  <sheetData>
    <row r="1" spans="1:71" ht="21" x14ac:dyDescent="0.4">
      <c r="A1" s="40" t="s">
        <v>456</v>
      </c>
    </row>
    <row r="2" spans="1:71" ht="21.6" thickBot="1" x14ac:dyDescent="0.45">
      <c r="A2" s="40" t="s">
        <v>255</v>
      </c>
    </row>
    <row r="3" spans="1:71" ht="73.2" thickTop="1" thickBot="1" x14ac:dyDescent="0.4">
      <c r="A3" s="35" t="s">
        <v>243</v>
      </c>
      <c r="B3" s="17" t="s">
        <v>82</v>
      </c>
      <c r="C3" s="17" t="s">
        <v>93</v>
      </c>
      <c r="D3" s="17" t="s">
        <v>94</v>
      </c>
      <c r="E3" s="17" t="s">
        <v>234</v>
      </c>
      <c r="F3" s="17" t="s">
        <v>235</v>
      </c>
      <c r="G3" s="17" t="s">
        <v>246</v>
      </c>
      <c r="H3" s="17" t="s">
        <v>80</v>
      </c>
      <c r="I3" s="17" t="s">
        <v>81</v>
      </c>
      <c r="J3" s="17" t="s">
        <v>85</v>
      </c>
      <c r="K3" s="17" t="s">
        <v>87</v>
      </c>
      <c r="L3" s="17" t="s">
        <v>86</v>
      </c>
      <c r="M3" s="17" t="s">
        <v>83</v>
      </c>
      <c r="N3" s="18" t="s">
        <v>84</v>
      </c>
      <c r="O3" s="19"/>
      <c r="P3" s="17" t="s">
        <v>88</v>
      </c>
      <c r="Q3" s="17" t="s">
        <v>89</v>
      </c>
      <c r="R3" s="17" t="s">
        <v>83</v>
      </c>
      <c r="S3" s="20" t="s">
        <v>84</v>
      </c>
      <c r="T3" s="94" t="s">
        <v>245</v>
      </c>
      <c r="U3" s="95"/>
      <c r="V3" s="29" t="s">
        <v>259</v>
      </c>
      <c r="W3" s="91" t="s">
        <v>247</v>
      </c>
      <c r="X3" s="92"/>
      <c r="Y3" s="92"/>
      <c r="Z3" s="93"/>
      <c r="AA3" s="91" t="s">
        <v>248</v>
      </c>
      <c r="AB3" s="92"/>
      <c r="AC3" s="92"/>
      <c r="AD3" s="92"/>
      <c r="AE3" s="93"/>
      <c r="AF3" s="91" t="s">
        <v>249</v>
      </c>
      <c r="AG3" s="92"/>
      <c r="AH3" s="92"/>
      <c r="AI3" s="93"/>
      <c r="AJ3" s="91" t="s">
        <v>250</v>
      </c>
      <c r="AK3" s="92"/>
      <c r="AL3" s="92"/>
      <c r="AM3" s="93"/>
      <c r="AN3" s="91" t="s">
        <v>251</v>
      </c>
      <c r="AO3" s="92"/>
      <c r="AP3" s="92"/>
      <c r="AQ3" s="93"/>
      <c r="AR3" s="91" t="s">
        <v>252</v>
      </c>
      <c r="AS3" s="92"/>
      <c r="AT3" s="92"/>
      <c r="AU3" s="93"/>
      <c r="AV3" s="91" t="s">
        <v>253</v>
      </c>
      <c r="AW3" s="92"/>
      <c r="AX3" s="92"/>
      <c r="AY3" s="93"/>
      <c r="AZ3" s="91" t="s">
        <v>236</v>
      </c>
      <c r="BA3" s="92"/>
      <c r="BB3" s="92"/>
      <c r="BC3" s="93"/>
      <c r="BD3" s="91" t="s">
        <v>237</v>
      </c>
      <c r="BE3" s="92"/>
      <c r="BF3" s="92"/>
      <c r="BG3" s="93"/>
      <c r="BH3" s="91" t="s">
        <v>238</v>
      </c>
      <c r="BI3" s="92"/>
      <c r="BJ3" s="92"/>
      <c r="BK3" s="93"/>
      <c r="BL3" s="91" t="s">
        <v>239</v>
      </c>
      <c r="BM3" s="92"/>
      <c r="BN3" s="92"/>
      <c r="BO3" s="93"/>
      <c r="BP3" s="91" t="s">
        <v>240</v>
      </c>
      <c r="BQ3" s="92"/>
      <c r="BR3" s="92"/>
      <c r="BS3" s="93"/>
    </row>
    <row r="4" spans="1:71" ht="60.6" thickTop="1" x14ac:dyDescent="0.3">
      <c r="A4" s="27" t="s">
        <v>241</v>
      </c>
      <c r="B4" s="41" t="s">
        <v>260</v>
      </c>
      <c r="C4" s="113" t="s">
        <v>303</v>
      </c>
      <c r="D4" s="114" t="s">
        <v>242</v>
      </c>
      <c r="E4" s="113" t="s">
        <v>305</v>
      </c>
      <c r="F4" s="115" t="s">
        <v>302</v>
      </c>
      <c r="G4" s="115" t="s">
        <v>292</v>
      </c>
      <c r="H4" s="116">
        <v>2024</v>
      </c>
      <c r="I4" s="117"/>
      <c r="J4" s="116">
        <v>10</v>
      </c>
      <c r="K4" s="118">
        <f t="shared" ref="K4" si="0">100%/J4</f>
        <v>0.1</v>
      </c>
      <c r="L4" s="117">
        <f>K4*I4</f>
        <v>0</v>
      </c>
      <c r="M4" s="119">
        <f>L4</f>
        <v>0</v>
      </c>
      <c r="N4" s="120">
        <f>I4-M4</f>
        <v>0</v>
      </c>
      <c r="O4" s="121"/>
      <c r="P4" s="122">
        <f>K4*2</f>
        <v>0.2</v>
      </c>
      <c r="Q4" s="119">
        <f>I4*P4</f>
        <v>0</v>
      </c>
      <c r="R4" s="119">
        <f>Q4</f>
        <v>0</v>
      </c>
      <c r="S4" s="119">
        <f>I4-R4</f>
        <v>0</v>
      </c>
      <c r="T4" s="119"/>
      <c r="U4" s="116"/>
      <c r="V4" s="123" t="s">
        <v>254</v>
      </c>
      <c r="W4" s="30">
        <v>1</v>
      </c>
      <c r="X4" s="31"/>
      <c r="Y4" s="31"/>
      <c r="Z4" s="32"/>
      <c r="AA4" s="33"/>
      <c r="AB4" s="31"/>
      <c r="AC4" s="31"/>
      <c r="AD4" s="31"/>
      <c r="AE4" s="32"/>
      <c r="AF4" s="33"/>
      <c r="AG4" s="31"/>
      <c r="AH4" s="31"/>
      <c r="AI4" s="32"/>
      <c r="AJ4" s="30">
        <v>1</v>
      </c>
      <c r="AK4" s="31"/>
      <c r="AL4" s="31"/>
      <c r="AM4" s="32"/>
      <c r="AN4" s="33"/>
      <c r="AO4" s="31"/>
      <c r="AP4" s="31"/>
      <c r="AQ4" s="32"/>
      <c r="AR4" s="33"/>
      <c r="AS4" s="31"/>
      <c r="AT4" s="31"/>
      <c r="AU4" s="32"/>
      <c r="AV4" s="30">
        <v>1</v>
      </c>
      <c r="AW4" s="31"/>
      <c r="AX4" s="31"/>
      <c r="AY4" s="32"/>
      <c r="AZ4" s="33"/>
      <c r="BA4" s="31"/>
      <c r="BB4" s="31"/>
      <c r="BC4" s="32"/>
      <c r="BD4" s="33"/>
      <c r="BE4" s="31"/>
      <c r="BF4" s="31"/>
      <c r="BG4" s="32"/>
      <c r="BH4" s="30">
        <v>1</v>
      </c>
      <c r="BI4" s="31"/>
      <c r="BJ4" s="32"/>
      <c r="BL4" s="34"/>
      <c r="BM4" s="31"/>
      <c r="BN4" s="31"/>
      <c r="BO4" s="32"/>
      <c r="BP4" s="34"/>
      <c r="BQ4" s="31"/>
      <c r="BR4" s="31"/>
      <c r="BS4" s="32"/>
    </row>
    <row r="5" spans="1:71" ht="49.8" customHeight="1" x14ac:dyDescent="0.3">
      <c r="A5" s="27" t="s">
        <v>241</v>
      </c>
      <c r="B5" s="36" t="s">
        <v>261</v>
      </c>
      <c r="C5" s="114" t="s">
        <v>303</v>
      </c>
      <c r="D5" s="114" t="s">
        <v>242</v>
      </c>
      <c r="E5" s="113" t="s">
        <v>305</v>
      </c>
      <c r="F5" s="115" t="s">
        <v>244</v>
      </c>
      <c r="G5" s="115" t="s">
        <v>292</v>
      </c>
      <c r="H5" s="116">
        <v>2024</v>
      </c>
      <c r="I5" s="117"/>
      <c r="J5" s="116">
        <v>10</v>
      </c>
      <c r="K5" s="118">
        <f t="shared" ref="K5:K16" si="1">100%/J5</f>
        <v>0.1</v>
      </c>
      <c r="L5" s="117">
        <f>K5*I5</f>
        <v>0</v>
      </c>
      <c r="M5" s="119">
        <f>L5</f>
        <v>0</v>
      </c>
      <c r="N5" s="120">
        <f>I5-M5</f>
        <v>0</v>
      </c>
      <c r="O5" s="121"/>
      <c r="P5" s="122">
        <f>K5*2</f>
        <v>0.2</v>
      </c>
      <c r="Q5" s="119">
        <f>I5*P5</f>
        <v>0</v>
      </c>
      <c r="R5" s="119">
        <f>Q5</f>
        <v>0</v>
      </c>
      <c r="S5" s="119">
        <f>I5-R5</f>
        <v>0</v>
      </c>
      <c r="T5" s="119"/>
      <c r="U5" s="116"/>
      <c r="V5" s="123" t="s">
        <v>254</v>
      </c>
      <c r="W5" s="30">
        <v>1</v>
      </c>
      <c r="X5" s="31"/>
      <c r="Y5" s="31"/>
      <c r="Z5" s="32"/>
      <c r="AA5" s="33"/>
      <c r="AB5" s="31"/>
      <c r="AC5" s="31"/>
      <c r="AD5" s="31"/>
      <c r="AE5" s="32"/>
      <c r="AF5" s="33"/>
      <c r="AG5" s="31"/>
      <c r="AH5" s="31"/>
      <c r="AI5" s="32"/>
      <c r="AJ5" s="30">
        <v>1</v>
      </c>
      <c r="AK5" s="31"/>
      <c r="AL5" s="31"/>
      <c r="AM5" s="32"/>
      <c r="AN5" s="33"/>
      <c r="AO5" s="31"/>
      <c r="AP5" s="31"/>
      <c r="AQ5" s="32"/>
      <c r="AR5" s="33"/>
      <c r="AS5" s="31"/>
      <c r="AT5" s="31"/>
      <c r="AU5" s="32"/>
      <c r="AV5" s="30">
        <v>1</v>
      </c>
      <c r="AW5" s="31"/>
      <c r="AX5" s="31"/>
      <c r="AY5" s="32"/>
      <c r="AZ5" s="33"/>
      <c r="BA5" s="31"/>
      <c r="BB5" s="31"/>
      <c r="BC5" s="32"/>
      <c r="BD5" s="33"/>
      <c r="BE5" s="31"/>
      <c r="BF5" s="31"/>
      <c r="BG5" s="32"/>
      <c r="BH5" s="30">
        <v>1</v>
      </c>
      <c r="BI5" s="31"/>
      <c r="BJ5" s="32"/>
      <c r="BL5" s="34"/>
      <c r="BM5" s="31"/>
      <c r="BN5" s="31"/>
      <c r="BO5" s="32"/>
      <c r="BP5" s="34"/>
      <c r="BQ5" s="31"/>
      <c r="BR5" s="31"/>
      <c r="BS5" s="32"/>
    </row>
    <row r="6" spans="1:71" ht="49.8" customHeight="1" x14ac:dyDescent="0.3">
      <c r="A6" s="27" t="s">
        <v>241</v>
      </c>
      <c r="B6" s="37" t="s">
        <v>260</v>
      </c>
      <c r="C6" s="114" t="s">
        <v>303</v>
      </c>
      <c r="D6" s="124" t="s">
        <v>242</v>
      </c>
      <c r="E6" s="113" t="s">
        <v>305</v>
      </c>
      <c r="F6" s="115" t="s">
        <v>302</v>
      </c>
      <c r="G6" s="115" t="s">
        <v>292</v>
      </c>
      <c r="H6" s="116"/>
      <c r="I6" s="117"/>
      <c r="J6" s="116"/>
      <c r="K6" s="118"/>
      <c r="L6" s="117"/>
      <c r="M6" s="119"/>
      <c r="N6" s="120"/>
      <c r="O6" s="121"/>
      <c r="P6" s="122"/>
      <c r="Q6" s="119"/>
      <c r="R6" s="119"/>
      <c r="S6" s="119"/>
      <c r="T6" s="119"/>
      <c r="U6" s="116"/>
      <c r="V6" s="123"/>
      <c r="W6" s="30"/>
      <c r="X6" s="31"/>
      <c r="Y6" s="31"/>
      <c r="Z6" s="32"/>
      <c r="AA6" s="33"/>
      <c r="AB6" s="31"/>
      <c r="AC6" s="31"/>
      <c r="AD6" s="31"/>
      <c r="AE6" s="32"/>
      <c r="AF6" s="33"/>
      <c r="AG6" s="31"/>
      <c r="AH6" s="31"/>
      <c r="AI6" s="32"/>
      <c r="AJ6" s="30"/>
      <c r="AK6" s="31"/>
      <c r="AL6" s="31"/>
      <c r="AM6" s="32"/>
      <c r="AN6" s="33"/>
      <c r="AO6" s="31"/>
      <c r="AP6" s="31"/>
      <c r="AQ6" s="32"/>
      <c r="AR6" s="33"/>
      <c r="AS6" s="31"/>
      <c r="AT6" s="31"/>
      <c r="AU6" s="32"/>
      <c r="AV6" s="30"/>
      <c r="AW6" s="31"/>
      <c r="AX6" s="31"/>
      <c r="AY6" s="32"/>
      <c r="AZ6" s="33"/>
      <c r="BA6" s="31"/>
      <c r="BB6" s="31"/>
      <c r="BC6" s="32"/>
      <c r="BD6" s="33"/>
      <c r="BE6" s="31"/>
      <c r="BF6" s="31"/>
      <c r="BG6" s="32"/>
      <c r="BH6" s="30"/>
      <c r="BI6" s="31"/>
      <c r="BJ6" s="31"/>
      <c r="BL6" s="34"/>
      <c r="BM6" s="31"/>
      <c r="BN6" s="31"/>
      <c r="BO6" s="32"/>
      <c r="BP6" s="34"/>
      <c r="BQ6" s="31"/>
      <c r="BR6" s="31"/>
      <c r="BS6" s="32"/>
    </row>
    <row r="7" spans="1:71" ht="49.8" customHeight="1" x14ac:dyDescent="0.3">
      <c r="A7" s="27" t="s">
        <v>241</v>
      </c>
      <c r="B7" s="36" t="s">
        <v>261</v>
      </c>
      <c r="C7" s="114" t="s">
        <v>303</v>
      </c>
      <c r="D7" s="124" t="s">
        <v>242</v>
      </c>
      <c r="E7" s="113" t="s">
        <v>305</v>
      </c>
      <c r="F7" s="115" t="s">
        <v>302</v>
      </c>
      <c r="G7" s="115" t="s">
        <v>292</v>
      </c>
      <c r="H7" s="116"/>
      <c r="I7" s="117"/>
      <c r="J7" s="116"/>
      <c r="K7" s="118"/>
      <c r="L7" s="117"/>
      <c r="M7" s="119"/>
      <c r="N7" s="120"/>
      <c r="O7" s="121"/>
      <c r="P7" s="122"/>
      <c r="Q7" s="119"/>
      <c r="R7" s="119"/>
      <c r="S7" s="119"/>
      <c r="T7" s="119"/>
      <c r="U7" s="116"/>
      <c r="V7" s="123"/>
      <c r="W7" s="30"/>
      <c r="X7" s="31"/>
      <c r="Y7" s="31"/>
      <c r="Z7" s="32"/>
      <c r="AA7" s="33"/>
      <c r="AB7" s="31"/>
      <c r="AC7" s="31"/>
      <c r="AD7" s="31"/>
      <c r="AE7" s="32"/>
      <c r="AF7" s="33"/>
      <c r="AG7" s="31"/>
      <c r="AH7" s="31"/>
      <c r="AI7" s="32"/>
      <c r="AJ7" s="30"/>
      <c r="AK7" s="31"/>
      <c r="AL7" s="31"/>
      <c r="AM7" s="32"/>
      <c r="AN7" s="33"/>
      <c r="AO7" s="31"/>
      <c r="AP7" s="31"/>
      <c r="AQ7" s="32"/>
      <c r="AR7" s="33"/>
      <c r="AS7" s="31"/>
      <c r="AT7" s="31"/>
      <c r="AU7" s="32"/>
      <c r="AV7" s="30"/>
      <c r="AW7" s="31"/>
      <c r="AX7" s="31"/>
      <c r="AY7" s="32"/>
      <c r="AZ7" s="33"/>
      <c r="BA7" s="31"/>
      <c r="BB7" s="31"/>
      <c r="BC7" s="32"/>
      <c r="BD7" s="33"/>
      <c r="BE7" s="31"/>
      <c r="BF7" s="31"/>
      <c r="BG7" s="32"/>
      <c r="BH7" s="30"/>
      <c r="BI7" s="31"/>
      <c r="BJ7" s="31"/>
      <c r="BL7" s="34"/>
      <c r="BM7" s="31"/>
      <c r="BN7" s="31"/>
      <c r="BO7" s="32"/>
      <c r="BP7" s="34"/>
      <c r="BQ7" s="31"/>
      <c r="BR7" s="31"/>
      <c r="BS7" s="32"/>
    </row>
    <row r="8" spans="1:71" ht="45" customHeight="1" x14ac:dyDescent="0.3">
      <c r="A8" s="27" t="s">
        <v>241</v>
      </c>
      <c r="B8" s="36" t="s">
        <v>262</v>
      </c>
      <c r="C8" s="114" t="s">
        <v>303</v>
      </c>
      <c r="D8" s="124" t="s">
        <v>242</v>
      </c>
      <c r="E8" s="113" t="s">
        <v>305</v>
      </c>
      <c r="F8" s="125" t="s">
        <v>244</v>
      </c>
      <c r="G8" s="125" t="s">
        <v>292</v>
      </c>
      <c r="H8" s="116">
        <v>2024</v>
      </c>
      <c r="I8" s="117"/>
      <c r="J8" s="116">
        <v>10</v>
      </c>
      <c r="K8" s="118">
        <f t="shared" si="1"/>
        <v>0.1</v>
      </c>
      <c r="L8" s="117">
        <f t="shared" ref="L8:L16" si="2">K8*I8</f>
        <v>0</v>
      </c>
      <c r="M8" s="119">
        <f>M5+L8</f>
        <v>0</v>
      </c>
      <c r="N8" s="120">
        <f t="shared" ref="N8:N16" si="3">I8-M8</f>
        <v>0</v>
      </c>
      <c r="O8" s="121"/>
      <c r="P8" s="122">
        <f>K8*2</f>
        <v>0.2</v>
      </c>
      <c r="Q8" s="119">
        <f>P8*S5</f>
        <v>0</v>
      </c>
      <c r="R8" s="119">
        <f>R5+Q8</f>
        <v>0</v>
      </c>
      <c r="S8" s="119">
        <f t="shared" ref="S8:S15" si="4">I8-R8</f>
        <v>0</v>
      </c>
      <c r="T8" s="119"/>
      <c r="U8" s="116"/>
      <c r="V8" s="123" t="s">
        <v>254</v>
      </c>
      <c r="W8" s="30">
        <v>1</v>
      </c>
      <c r="X8" s="31"/>
      <c r="Y8" s="31"/>
      <c r="Z8" s="32"/>
      <c r="AA8" s="33"/>
      <c r="AB8" s="31"/>
      <c r="AC8" s="31"/>
      <c r="AD8" s="31"/>
      <c r="AE8" s="32"/>
      <c r="AF8" s="33"/>
      <c r="AG8" s="31"/>
      <c r="AH8" s="31"/>
      <c r="AI8" s="32"/>
      <c r="AJ8" s="30">
        <v>1</v>
      </c>
      <c r="AK8" s="31"/>
      <c r="AL8" s="31"/>
      <c r="AM8" s="32"/>
      <c r="AN8" s="33"/>
      <c r="AO8" s="31"/>
      <c r="AP8" s="31"/>
      <c r="AQ8" s="32"/>
      <c r="AR8" s="33"/>
      <c r="AS8" s="31"/>
      <c r="AT8" s="31"/>
      <c r="AU8" s="32"/>
      <c r="AV8" s="30">
        <v>1</v>
      </c>
      <c r="AW8" s="31"/>
      <c r="AX8" s="31"/>
      <c r="AY8" s="32"/>
      <c r="AZ8" s="33"/>
      <c r="BA8" s="31"/>
      <c r="BB8" s="31"/>
      <c r="BC8" s="32"/>
      <c r="BD8" s="33"/>
      <c r="BE8" s="31"/>
      <c r="BF8" s="31"/>
      <c r="BG8" s="32"/>
      <c r="BH8" s="30">
        <v>1</v>
      </c>
      <c r="BI8" s="31"/>
      <c r="BJ8" s="31"/>
      <c r="BK8" s="32"/>
      <c r="BL8" s="34"/>
      <c r="BM8" s="31"/>
      <c r="BN8" s="31"/>
      <c r="BO8" s="32"/>
      <c r="BP8" s="34"/>
      <c r="BQ8" s="31"/>
      <c r="BR8" s="31"/>
      <c r="BS8" s="32"/>
    </row>
    <row r="9" spans="1:71" ht="58.2" customHeight="1" x14ac:dyDescent="0.3">
      <c r="A9" s="28" t="s">
        <v>256</v>
      </c>
      <c r="B9" s="36" t="s">
        <v>263</v>
      </c>
      <c r="C9" s="114" t="s">
        <v>303</v>
      </c>
      <c r="D9" s="124" t="s">
        <v>242</v>
      </c>
      <c r="E9" s="113" t="s">
        <v>305</v>
      </c>
      <c r="F9" s="125" t="s">
        <v>244</v>
      </c>
      <c r="G9" s="125" t="s">
        <v>292</v>
      </c>
      <c r="H9" s="116">
        <v>2024</v>
      </c>
      <c r="I9" s="117"/>
      <c r="J9" s="116">
        <v>10</v>
      </c>
      <c r="K9" s="118">
        <f t="shared" si="1"/>
        <v>0.1</v>
      </c>
      <c r="L9" s="117">
        <f t="shared" si="2"/>
        <v>0</v>
      </c>
      <c r="M9" s="119">
        <f t="shared" ref="M9:M16" si="5">M8+L9</f>
        <v>0</v>
      </c>
      <c r="N9" s="120">
        <f t="shared" si="3"/>
        <v>0</v>
      </c>
      <c r="O9" s="121"/>
      <c r="P9" s="122">
        <f t="shared" ref="P9:P16" si="6">K9*2</f>
        <v>0.2</v>
      </c>
      <c r="Q9" s="119">
        <f>P9*S8</f>
        <v>0</v>
      </c>
      <c r="R9" s="119">
        <f>R8+Q9</f>
        <v>0</v>
      </c>
      <c r="S9" s="119">
        <f t="shared" si="4"/>
        <v>0</v>
      </c>
      <c r="T9" s="119"/>
      <c r="U9" s="116"/>
      <c r="V9" s="123" t="s">
        <v>254</v>
      </c>
      <c r="W9" s="30">
        <v>1</v>
      </c>
      <c r="X9" s="31"/>
      <c r="Y9" s="31"/>
      <c r="Z9" s="32"/>
      <c r="AA9" s="33"/>
      <c r="AB9" s="31"/>
      <c r="AC9" s="31"/>
      <c r="AD9" s="31"/>
      <c r="AE9" s="32"/>
      <c r="AF9" s="33"/>
      <c r="AG9" s="31"/>
      <c r="AH9" s="31"/>
      <c r="AI9" s="32"/>
      <c r="AJ9" s="30">
        <v>1</v>
      </c>
      <c r="AK9" s="31"/>
      <c r="AL9" s="31"/>
      <c r="AM9" s="32"/>
      <c r="AN9" s="33"/>
      <c r="AO9" s="31"/>
      <c r="AP9" s="31"/>
      <c r="AQ9" s="32"/>
      <c r="AR9" s="33"/>
      <c r="AS9" s="31"/>
      <c r="AT9" s="31"/>
      <c r="AU9" s="32"/>
      <c r="AV9" s="30">
        <v>1</v>
      </c>
      <c r="AW9" s="31"/>
      <c r="AX9" s="31"/>
      <c r="AY9" s="32"/>
      <c r="AZ9" s="33"/>
      <c r="BA9" s="31"/>
      <c r="BB9" s="31"/>
      <c r="BC9" s="32"/>
      <c r="BD9" s="33"/>
      <c r="BE9" s="31"/>
      <c r="BF9" s="31"/>
      <c r="BG9" s="32"/>
      <c r="BH9" s="30">
        <v>1</v>
      </c>
      <c r="BI9" s="31"/>
      <c r="BJ9" s="31"/>
      <c r="BK9" s="32"/>
      <c r="BL9" s="34"/>
      <c r="BM9" s="31"/>
      <c r="BN9" s="31"/>
      <c r="BO9" s="32"/>
      <c r="BP9" s="34"/>
      <c r="BQ9" s="31"/>
      <c r="BR9" s="31"/>
      <c r="BS9" s="32"/>
    </row>
    <row r="10" spans="1:71" ht="58.2" customHeight="1" x14ac:dyDescent="0.3">
      <c r="A10" s="28" t="s">
        <v>256</v>
      </c>
      <c r="B10" s="36" t="s">
        <v>262</v>
      </c>
      <c r="C10" s="114" t="s">
        <v>303</v>
      </c>
      <c r="D10" s="124" t="s">
        <v>242</v>
      </c>
      <c r="E10" s="113" t="s">
        <v>305</v>
      </c>
      <c r="F10" s="125" t="s">
        <v>244</v>
      </c>
      <c r="G10" s="125" t="s">
        <v>292</v>
      </c>
      <c r="H10" s="116">
        <v>2024</v>
      </c>
      <c r="I10" s="117"/>
      <c r="J10" s="116">
        <v>10</v>
      </c>
      <c r="K10" s="118">
        <f t="shared" ref="K10:K13" si="7">100%/J10</f>
        <v>0.1</v>
      </c>
      <c r="L10" s="117">
        <f t="shared" ref="L10:L13" si="8">K10*I10</f>
        <v>0</v>
      </c>
      <c r="M10" s="119">
        <f t="shared" ref="M10:M13" si="9">M9+L10</f>
        <v>0</v>
      </c>
      <c r="N10" s="120">
        <f t="shared" ref="N10:N13" si="10">I10-M10</f>
        <v>0</v>
      </c>
      <c r="O10" s="121"/>
      <c r="P10" s="122">
        <f t="shared" ref="P10:P13" si="11">K10*2</f>
        <v>0.2</v>
      </c>
      <c r="Q10" s="119">
        <f t="shared" ref="Q10:Q13" si="12">P10*S9</f>
        <v>0</v>
      </c>
      <c r="R10" s="119">
        <f t="shared" ref="R10:R13" si="13">R9+Q10</f>
        <v>0</v>
      </c>
      <c r="S10" s="119">
        <f t="shared" ref="S10:S13" si="14">I10-R10</f>
        <v>0</v>
      </c>
      <c r="T10" s="119"/>
      <c r="U10" s="116"/>
      <c r="V10" s="123" t="s">
        <v>254</v>
      </c>
      <c r="W10" s="30">
        <v>1</v>
      </c>
      <c r="X10" s="31"/>
      <c r="Y10" s="31"/>
      <c r="Z10" s="32"/>
      <c r="AA10" s="33"/>
      <c r="AB10" s="31"/>
      <c r="AC10" s="31"/>
      <c r="AD10" s="31"/>
      <c r="AE10" s="32"/>
      <c r="AF10" s="33"/>
      <c r="AG10" s="31"/>
      <c r="AH10" s="31"/>
      <c r="AI10" s="32"/>
      <c r="AJ10" s="30">
        <v>1</v>
      </c>
      <c r="AK10" s="31"/>
      <c r="AL10" s="31"/>
      <c r="AM10" s="32"/>
      <c r="AN10" s="33"/>
      <c r="AO10" s="31"/>
      <c r="AP10" s="31"/>
      <c r="AQ10" s="32"/>
      <c r="AR10" s="33"/>
      <c r="AS10" s="31"/>
      <c r="AT10" s="31"/>
      <c r="AU10" s="32"/>
      <c r="AV10" s="30">
        <v>1</v>
      </c>
      <c r="AW10" s="31"/>
      <c r="AX10" s="31"/>
      <c r="AY10" s="32"/>
      <c r="AZ10" s="33"/>
      <c r="BA10" s="31"/>
      <c r="BB10" s="31"/>
      <c r="BC10" s="32"/>
      <c r="BD10" s="33"/>
      <c r="BE10" s="31"/>
      <c r="BF10" s="31"/>
      <c r="BG10" s="32"/>
      <c r="BH10" s="30">
        <v>1</v>
      </c>
      <c r="BI10" s="31"/>
      <c r="BJ10" s="31"/>
      <c r="BK10" s="32"/>
      <c r="BL10" s="34"/>
      <c r="BM10" s="31"/>
      <c r="BN10" s="31"/>
      <c r="BO10" s="32"/>
      <c r="BP10" s="34"/>
      <c r="BQ10" s="31"/>
      <c r="BR10" s="31"/>
      <c r="BS10" s="32"/>
    </row>
    <row r="11" spans="1:71" ht="58.2" customHeight="1" x14ac:dyDescent="0.3">
      <c r="A11" s="28" t="s">
        <v>256</v>
      </c>
      <c r="B11" s="36" t="s">
        <v>263</v>
      </c>
      <c r="C11" s="114" t="s">
        <v>303</v>
      </c>
      <c r="D11" s="124" t="s">
        <v>242</v>
      </c>
      <c r="E11" s="113" t="s">
        <v>305</v>
      </c>
      <c r="F11" s="125" t="s">
        <v>244</v>
      </c>
      <c r="G11" s="125" t="s">
        <v>292</v>
      </c>
      <c r="H11" s="116">
        <v>2024</v>
      </c>
      <c r="I11" s="117"/>
      <c r="J11" s="116">
        <v>10</v>
      </c>
      <c r="K11" s="118">
        <f t="shared" si="7"/>
        <v>0.1</v>
      </c>
      <c r="L11" s="117">
        <f t="shared" si="8"/>
        <v>0</v>
      </c>
      <c r="M11" s="119">
        <f t="shared" si="9"/>
        <v>0</v>
      </c>
      <c r="N11" s="120">
        <f t="shared" si="10"/>
        <v>0</v>
      </c>
      <c r="O11" s="121"/>
      <c r="P11" s="122">
        <f t="shared" si="11"/>
        <v>0.2</v>
      </c>
      <c r="Q11" s="119">
        <f t="shared" si="12"/>
        <v>0</v>
      </c>
      <c r="R11" s="119">
        <f t="shared" si="13"/>
        <v>0</v>
      </c>
      <c r="S11" s="119">
        <f t="shared" si="14"/>
        <v>0</v>
      </c>
      <c r="T11" s="119"/>
      <c r="U11" s="116"/>
      <c r="V11" s="123" t="s">
        <v>254</v>
      </c>
      <c r="W11" s="30">
        <v>1</v>
      </c>
      <c r="X11" s="31"/>
      <c r="Y11" s="31"/>
      <c r="Z11" s="32"/>
      <c r="AA11" s="33"/>
      <c r="AB11" s="31"/>
      <c r="AC11" s="31"/>
      <c r="AD11" s="31"/>
      <c r="AE11" s="32"/>
      <c r="AF11" s="33"/>
      <c r="AG11" s="31"/>
      <c r="AH11" s="31"/>
      <c r="AI11" s="32"/>
      <c r="AJ11" s="30">
        <v>1</v>
      </c>
      <c r="AK11" s="31"/>
      <c r="AL11" s="31"/>
      <c r="AM11" s="32"/>
      <c r="AN11" s="33"/>
      <c r="AO11" s="31"/>
      <c r="AP11" s="31"/>
      <c r="AQ11" s="32"/>
      <c r="AR11" s="33"/>
      <c r="AS11" s="31"/>
      <c r="AT11" s="31"/>
      <c r="AU11" s="32"/>
      <c r="AV11" s="30">
        <v>1</v>
      </c>
      <c r="AW11" s="31"/>
      <c r="AX11" s="31"/>
      <c r="AY11" s="32"/>
      <c r="AZ11" s="33"/>
      <c r="BA11" s="31"/>
      <c r="BB11" s="31"/>
      <c r="BC11" s="32"/>
      <c r="BD11" s="33"/>
      <c r="BE11" s="31"/>
      <c r="BF11" s="31"/>
      <c r="BG11" s="32"/>
      <c r="BH11" s="30">
        <v>1</v>
      </c>
      <c r="BI11" s="31"/>
      <c r="BJ11" s="31"/>
      <c r="BK11" s="32"/>
      <c r="BL11" s="34"/>
      <c r="BM11" s="31"/>
      <c r="BN11" s="31"/>
      <c r="BO11" s="32"/>
      <c r="BP11" s="34"/>
      <c r="BQ11" s="31"/>
      <c r="BR11" s="31"/>
      <c r="BS11" s="32"/>
    </row>
    <row r="12" spans="1:71" ht="58.2" customHeight="1" x14ac:dyDescent="0.3">
      <c r="A12" s="28" t="s">
        <v>256</v>
      </c>
      <c r="B12" s="36" t="s">
        <v>264</v>
      </c>
      <c r="C12" s="114" t="s">
        <v>303</v>
      </c>
      <c r="D12" s="124" t="s">
        <v>242</v>
      </c>
      <c r="E12" s="113" t="s">
        <v>305</v>
      </c>
      <c r="F12" s="125" t="s">
        <v>244</v>
      </c>
      <c r="G12" s="125" t="s">
        <v>292</v>
      </c>
      <c r="H12" s="116">
        <v>2024</v>
      </c>
      <c r="I12" s="117"/>
      <c r="J12" s="116">
        <v>10</v>
      </c>
      <c r="K12" s="118">
        <f t="shared" si="7"/>
        <v>0.1</v>
      </c>
      <c r="L12" s="117">
        <f t="shared" si="8"/>
        <v>0</v>
      </c>
      <c r="M12" s="119">
        <f t="shared" si="9"/>
        <v>0</v>
      </c>
      <c r="N12" s="120">
        <f t="shared" si="10"/>
        <v>0</v>
      </c>
      <c r="O12" s="121"/>
      <c r="P12" s="122">
        <f t="shared" si="11"/>
        <v>0.2</v>
      </c>
      <c r="Q12" s="119">
        <f t="shared" si="12"/>
        <v>0</v>
      </c>
      <c r="R12" s="119">
        <f t="shared" si="13"/>
        <v>0</v>
      </c>
      <c r="S12" s="119">
        <f t="shared" si="14"/>
        <v>0</v>
      </c>
      <c r="T12" s="119"/>
      <c r="U12" s="116"/>
      <c r="V12" s="123" t="s">
        <v>254</v>
      </c>
      <c r="W12" s="30">
        <v>1</v>
      </c>
      <c r="X12" s="31"/>
      <c r="Y12" s="31"/>
      <c r="Z12" s="32"/>
      <c r="AA12" s="33"/>
      <c r="AB12" s="31"/>
      <c r="AC12" s="31"/>
      <c r="AD12" s="31"/>
      <c r="AE12" s="32"/>
      <c r="AF12" s="33"/>
      <c r="AG12" s="31"/>
      <c r="AH12" s="31"/>
      <c r="AI12" s="32"/>
      <c r="AJ12" s="30">
        <v>1</v>
      </c>
      <c r="AK12" s="31"/>
      <c r="AL12" s="31"/>
      <c r="AM12" s="32"/>
      <c r="AN12" s="33"/>
      <c r="AO12" s="31"/>
      <c r="AP12" s="31"/>
      <c r="AQ12" s="32"/>
      <c r="AR12" s="33"/>
      <c r="AS12" s="31"/>
      <c r="AT12" s="31"/>
      <c r="AU12" s="32"/>
      <c r="AV12" s="30">
        <v>1</v>
      </c>
      <c r="AW12" s="31"/>
      <c r="AX12" s="31"/>
      <c r="AY12" s="32"/>
      <c r="AZ12" s="33"/>
      <c r="BA12" s="31"/>
      <c r="BB12" s="31"/>
      <c r="BC12" s="32"/>
      <c r="BD12" s="33"/>
      <c r="BE12" s="31"/>
      <c r="BF12" s="31"/>
      <c r="BG12" s="32"/>
      <c r="BH12" s="30">
        <v>1</v>
      </c>
      <c r="BI12" s="31"/>
      <c r="BJ12" s="31"/>
      <c r="BK12" s="32"/>
      <c r="BL12" s="34"/>
      <c r="BM12" s="31"/>
      <c r="BN12" s="31"/>
      <c r="BO12" s="32"/>
      <c r="BP12" s="34"/>
      <c r="BQ12" s="31"/>
      <c r="BR12" s="31"/>
      <c r="BS12" s="32"/>
    </row>
    <row r="13" spans="1:71" ht="58.2" customHeight="1" x14ac:dyDescent="0.3">
      <c r="A13" s="28" t="s">
        <v>256</v>
      </c>
      <c r="B13" s="36" t="s">
        <v>265</v>
      </c>
      <c r="C13" s="114" t="s">
        <v>303</v>
      </c>
      <c r="D13" s="124" t="s">
        <v>242</v>
      </c>
      <c r="E13" s="113" t="s">
        <v>305</v>
      </c>
      <c r="F13" s="125" t="s">
        <v>244</v>
      </c>
      <c r="G13" s="125" t="s">
        <v>292</v>
      </c>
      <c r="H13" s="116">
        <v>2024</v>
      </c>
      <c r="I13" s="117"/>
      <c r="J13" s="116">
        <v>10</v>
      </c>
      <c r="K13" s="118">
        <f t="shared" si="7"/>
        <v>0.1</v>
      </c>
      <c r="L13" s="117">
        <f t="shared" si="8"/>
        <v>0</v>
      </c>
      <c r="M13" s="119">
        <f t="shared" si="9"/>
        <v>0</v>
      </c>
      <c r="N13" s="120">
        <f t="shared" si="10"/>
        <v>0</v>
      </c>
      <c r="O13" s="121"/>
      <c r="P13" s="122">
        <f t="shared" si="11"/>
        <v>0.2</v>
      </c>
      <c r="Q13" s="119">
        <f t="shared" si="12"/>
        <v>0</v>
      </c>
      <c r="R13" s="119">
        <f t="shared" si="13"/>
        <v>0</v>
      </c>
      <c r="S13" s="119">
        <f t="shared" si="14"/>
        <v>0</v>
      </c>
      <c r="T13" s="119"/>
      <c r="U13" s="116"/>
      <c r="V13" s="123" t="s">
        <v>254</v>
      </c>
      <c r="W13" s="30">
        <v>1</v>
      </c>
      <c r="X13" s="31"/>
      <c r="Y13" s="31"/>
      <c r="Z13" s="32"/>
      <c r="AA13" s="33"/>
      <c r="AB13" s="31"/>
      <c r="AC13" s="31"/>
      <c r="AD13" s="31"/>
      <c r="AE13" s="32"/>
      <c r="AF13" s="33"/>
      <c r="AG13" s="31"/>
      <c r="AH13" s="31"/>
      <c r="AI13" s="32"/>
      <c r="AJ13" s="30">
        <v>1</v>
      </c>
      <c r="AK13" s="31"/>
      <c r="AL13" s="31"/>
      <c r="AM13" s="32"/>
      <c r="AN13" s="33"/>
      <c r="AO13" s="31"/>
      <c r="AP13" s="31"/>
      <c r="AQ13" s="32"/>
      <c r="AR13" s="33"/>
      <c r="AS13" s="31"/>
      <c r="AT13" s="31"/>
      <c r="AU13" s="32"/>
      <c r="AV13" s="30">
        <v>1</v>
      </c>
      <c r="AW13" s="31"/>
      <c r="AX13" s="31"/>
      <c r="AY13" s="32"/>
      <c r="AZ13" s="33"/>
      <c r="BA13" s="31"/>
      <c r="BB13" s="31"/>
      <c r="BC13" s="32"/>
      <c r="BD13" s="33"/>
      <c r="BE13" s="31"/>
      <c r="BF13" s="31"/>
      <c r="BG13" s="32"/>
      <c r="BH13" s="30">
        <v>1</v>
      </c>
      <c r="BI13" s="31"/>
      <c r="BJ13" s="31"/>
      <c r="BK13" s="32"/>
      <c r="BL13" s="34"/>
      <c r="BM13" s="31"/>
      <c r="BN13" s="31"/>
      <c r="BO13" s="32"/>
      <c r="BP13" s="34"/>
      <c r="BQ13" s="31"/>
      <c r="BR13" s="31"/>
      <c r="BS13" s="32"/>
    </row>
    <row r="14" spans="1:71" ht="60" x14ac:dyDescent="0.3">
      <c r="A14" s="39" t="s">
        <v>256</v>
      </c>
      <c r="B14" s="57" t="s">
        <v>264</v>
      </c>
      <c r="C14" s="126" t="s">
        <v>303</v>
      </c>
      <c r="D14" s="127" t="s">
        <v>242</v>
      </c>
      <c r="E14" s="128" t="s">
        <v>305</v>
      </c>
      <c r="F14" s="129" t="s">
        <v>244</v>
      </c>
      <c r="G14" s="129" t="s">
        <v>292</v>
      </c>
      <c r="H14" s="130">
        <v>2024</v>
      </c>
      <c r="I14" s="131"/>
      <c r="J14" s="130">
        <v>10</v>
      </c>
      <c r="K14" s="132">
        <f t="shared" si="1"/>
        <v>0.1</v>
      </c>
      <c r="L14" s="131">
        <f t="shared" si="2"/>
        <v>0</v>
      </c>
      <c r="M14" s="133">
        <f>M9+L14</f>
        <v>0</v>
      </c>
      <c r="N14" s="134">
        <f t="shared" si="3"/>
        <v>0</v>
      </c>
      <c r="O14" s="135"/>
      <c r="P14" s="136">
        <f t="shared" si="6"/>
        <v>0.2</v>
      </c>
      <c r="Q14" s="133">
        <f>S9</f>
        <v>0</v>
      </c>
      <c r="R14" s="133">
        <f>R9+Q14</f>
        <v>0</v>
      </c>
      <c r="S14" s="133">
        <f t="shared" si="4"/>
        <v>0</v>
      </c>
      <c r="T14" s="133"/>
      <c r="U14" s="130"/>
      <c r="V14" s="137" t="s">
        <v>254</v>
      </c>
      <c r="W14" s="104">
        <v>1</v>
      </c>
      <c r="X14" s="105"/>
      <c r="Y14" s="105"/>
      <c r="Z14" s="106"/>
      <c r="AA14" s="33"/>
      <c r="AB14" s="31"/>
      <c r="AC14" s="31"/>
      <c r="AD14" s="31"/>
      <c r="AE14" s="32"/>
      <c r="AF14" s="33"/>
      <c r="AG14" s="31"/>
      <c r="AH14" s="31"/>
      <c r="AI14" s="32"/>
      <c r="AJ14" s="30">
        <v>1</v>
      </c>
      <c r="AK14" s="31"/>
      <c r="AL14" s="31"/>
      <c r="AM14" s="32"/>
      <c r="AN14" s="33"/>
      <c r="AO14" s="31"/>
      <c r="AP14" s="31"/>
      <c r="AQ14" s="32"/>
      <c r="AR14" s="33"/>
      <c r="AS14" s="31"/>
      <c r="AT14" s="31"/>
      <c r="AU14" s="32"/>
      <c r="AV14" s="30">
        <v>1</v>
      </c>
      <c r="AW14" s="31"/>
      <c r="AX14" s="31"/>
      <c r="AY14" s="32"/>
      <c r="AZ14" s="33"/>
      <c r="BA14" s="31"/>
      <c r="BB14" s="31"/>
      <c r="BC14" s="32"/>
      <c r="BD14" s="33"/>
      <c r="BE14" s="31"/>
      <c r="BF14" s="31"/>
      <c r="BG14" s="32"/>
      <c r="BH14" s="30">
        <v>1</v>
      </c>
      <c r="BI14" s="31"/>
      <c r="BJ14" s="31"/>
      <c r="BK14" s="32"/>
      <c r="BL14" s="34"/>
      <c r="BM14" s="31"/>
      <c r="BN14" s="31"/>
      <c r="BO14" s="32"/>
      <c r="BP14" s="34"/>
      <c r="BQ14" s="31"/>
      <c r="BR14" s="31"/>
      <c r="BS14" s="32"/>
    </row>
    <row r="15" spans="1:71" ht="60" x14ac:dyDescent="0.3">
      <c r="A15" s="26" t="s">
        <v>257</v>
      </c>
      <c r="B15" s="51" t="s">
        <v>265</v>
      </c>
      <c r="C15" s="138" t="s">
        <v>303</v>
      </c>
      <c r="D15" s="138" t="s">
        <v>242</v>
      </c>
      <c r="E15" s="113" t="s">
        <v>305</v>
      </c>
      <c r="F15" s="113" t="s">
        <v>244</v>
      </c>
      <c r="G15" s="113" t="s">
        <v>292</v>
      </c>
      <c r="H15" s="116">
        <v>2024</v>
      </c>
      <c r="I15" s="117"/>
      <c r="J15" s="116">
        <v>10</v>
      </c>
      <c r="K15" s="118">
        <f t="shared" si="1"/>
        <v>0.1</v>
      </c>
      <c r="L15" s="117">
        <f t="shared" si="2"/>
        <v>0</v>
      </c>
      <c r="M15" s="119">
        <f t="shared" si="5"/>
        <v>0</v>
      </c>
      <c r="N15" s="120">
        <f t="shared" si="3"/>
        <v>0</v>
      </c>
      <c r="O15" s="121"/>
      <c r="P15" s="122">
        <f t="shared" si="6"/>
        <v>0.2</v>
      </c>
      <c r="Q15" s="119">
        <f>S14</f>
        <v>0</v>
      </c>
      <c r="R15" s="119">
        <f>R14+Q15</f>
        <v>0</v>
      </c>
      <c r="S15" s="119">
        <f t="shared" si="4"/>
        <v>0</v>
      </c>
      <c r="T15" s="116"/>
      <c r="U15" s="116"/>
      <c r="V15" s="139" t="s">
        <v>254</v>
      </c>
      <c r="W15" s="107">
        <v>1</v>
      </c>
      <c r="X15" s="108"/>
      <c r="Y15" s="108"/>
      <c r="Z15" s="108"/>
      <c r="AA15" s="103"/>
      <c r="AB15" s="31"/>
      <c r="AC15" s="31"/>
      <c r="AD15" s="31"/>
      <c r="AE15" s="32"/>
      <c r="AF15" s="33"/>
      <c r="AG15" s="31"/>
      <c r="AH15" s="31"/>
      <c r="AI15" s="32"/>
      <c r="AJ15" s="30">
        <v>1</v>
      </c>
      <c r="AK15" s="31"/>
      <c r="AL15" s="31"/>
      <c r="AM15" s="32"/>
      <c r="AN15" s="33"/>
      <c r="AO15" s="31"/>
      <c r="AP15" s="31"/>
      <c r="AQ15" s="32"/>
      <c r="AR15" s="33"/>
      <c r="AS15" s="31"/>
      <c r="AT15" s="31"/>
      <c r="AU15" s="32"/>
      <c r="AV15" s="30">
        <v>1</v>
      </c>
      <c r="AW15" s="31"/>
      <c r="AX15" s="31"/>
      <c r="AY15" s="32"/>
      <c r="AZ15" s="33"/>
      <c r="BA15" s="31"/>
      <c r="BB15" s="31"/>
      <c r="BC15" s="32"/>
      <c r="BD15" s="33"/>
      <c r="BE15" s="31"/>
      <c r="BF15" s="31"/>
      <c r="BG15" s="32"/>
      <c r="BH15" s="30">
        <v>1</v>
      </c>
      <c r="BI15" s="31"/>
      <c r="BJ15" s="31"/>
      <c r="BK15" s="32"/>
      <c r="BL15" s="34"/>
      <c r="BM15" s="31"/>
      <c r="BN15" s="31"/>
      <c r="BO15" s="32"/>
      <c r="BP15" s="34"/>
      <c r="BQ15" s="31"/>
      <c r="BR15" s="31"/>
      <c r="BS15" s="32"/>
    </row>
    <row r="16" spans="1:71" ht="60" x14ac:dyDescent="0.3">
      <c r="A16" s="26" t="s">
        <v>258</v>
      </c>
      <c r="B16" s="51" t="s">
        <v>266</v>
      </c>
      <c r="C16" s="138" t="s">
        <v>303</v>
      </c>
      <c r="D16" s="138" t="s">
        <v>242</v>
      </c>
      <c r="E16" s="113" t="s">
        <v>305</v>
      </c>
      <c r="F16" s="113" t="s">
        <v>244</v>
      </c>
      <c r="G16" s="113" t="s">
        <v>292</v>
      </c>
      <c r="H16" s="116">
        <v>2024</v>
      </c>
      <c r="I16" s="140"/>
      <c r="J16" s="116">
        <v>10</v>
      </c>
      <c r="K16" s="141">
        <f t="shared" si="1"/>
        <v>0.1</v>
      </c>
      <c r="L16" s="142">
        <f t="shared" si="2"/>
        <v>0</v>
      </c>
      <c r="M16" s="119">
        <f t="shared" si="5"/>
        <v>0</v>
      </c>
      <c r="N16" s="120">
        <f t="shared" si="3"/>
        <v>0</v>
      </c>
      <c r="O16" s="121"/>
      <c r="P16" s="122">
        <f t="shared" si="6"/>
        <v>0.2</v>
      </c>
      <c r="Q16" s="119">
        <f>S15</f>
        <v>0</v>
      </c>
      <c r="R16" s="119">
        <f>R15+Q16</f>
        <v>0</v>
      </c>
      <c r="S16" s="116"/>
      <c r="T16" s="116"/>
      <c r="U16" s="116"/>
      <c r="V16" s="139" t="s">
        <v>254</v>
      </c>
      <c r="W16" s="107">
        <v>1</v>
      </c>
      <c r="X16" s="108"/>
      <c r="Y16" s="108"/>
      <c r="Z16" s="108"/>
      <c r="AA16" s="103"/>
      <c r="AB16" s="31"/>
      <c r="AC16" s="31"/>
      <c r="AD16" s="31"/>
      <c r="AE16" s="32"/>
      <c r="AF16" s="33"/>
      <c r="AG16" s="31"/>
      <c r="AH16" s="31"/>
      <c r="AI16" s="32"/>
      <c r="AJ16" s="30">
        <v>1</v>
      </c>
      <c r="AK16" s="31"/>
      <c r="AL16" s="31"/>
      <c r="AM16" s="32"/>
      <c r="AN16" s="33"/>
      <c r="AO16" s="31"/>
      <c r="AP16" s="31"/>
      <c r="AQ16" s="32"/>
      <c r="AR16" s="33"/>
      <c r="AS16" s="31"/>
      <c r="AT16" s="31"/>
      <c r="AU16" s="32"/>
      <c r="AV16" s="30">
        <v>1</v>
      </c>
      <c r="AW16" s="31"/>
      <c r="AX16" s="31"/>
      <c r="AY16" s="32"/>
      <c r="AZ16" s="33"/>
      <c r="BA16" s="31"/>
      <c r="BB16" s="31"/>
      <c r="BC16" s="32"/>
      <c r="BD16" s="33"/>
      <c r="BE16" s="31"/>
      <c r="BF16" s="31"/>
      <c r="BG16" s="32"/>
      <c r="BH16" s="30">
        <v>1</v>
      </c>
      <c r="BI16" s="31"/>
      <c r="BJ16" s="31"/>
      <c r="BK16" s="32"/>
      <c r="BL16" s="34"/>
      <c r="BM16" s="31"/>
      <c r="BN16" s="31"/>
      <c r="BO16" s="32"/>
      <c r="BP16" s="34"/>
      <c r="BQ16" s="31"/>
      <c r="BR16" s="31"/>
      <c r="BS16" s="32"/>
    </row>
    <row r="17" spans="1:71" ht="48" x14ac:dyDescent="0.3">
      <c r="A17" s="26" t="s">
        <v>458</v>
      </c>
      <c r="B17" s="51" t="s">
        <v>267</v>
      </c>
      <c r="C17" s="138" t="s">
        <v>71</v>
      </c>
      <c r="D17" s="138" t="s">
        <v>289</v>
      </c>
      <c r="E17" s="113" t="s">
        <v>305</v>
      </c>
      <c r="F17" s="113"/>
      <c r="G17" s="113" t="s">
        <v>293</v>
      </c>
      <c r="H17" s="116">
        <v>2024</v>
      </c>
      <c r="I17" s="140"/>
      <c r="J17" s="116">
        <v>10</v>
      </c>
      <c r="K17" s="141">
        <f t="shared" ref="K17:K37" si="15">100%/J17</f>
        <v>0.1</v>
      </c>
      <c r="L17" s="142">
        <f t="shared" ref="L17:L37" si="16">K17*I17</f>
        <v>0</v>
      </c>
      <c r="M17" s="119">
        <f t="shared" ref="M17:M37" si="17">M16+L17</f>
        <v>0</v>
      </c>
      <c r="N17" s="120">
        <f t="shared" ref="N17:N37" si="18">I17-M17</f>
        <v>0</v>
      </c>
      <c r="O17" s="121"/>
      <c r="P17" s="122">
        <f t="shared" ref="P17:P37" si="19">K17*2</f>
        <v>0.2</v>
      </c>
      <c r="Q17" s="119">
        <f t="shared" ref="Q17:Q37" si="20">S16</f>
        <v>0</v>
      </c>
      <c r="R17" s="119">
        <f t="shared" ref="R17:R37" si="21">R16+Q17</f>
        <v>0</v>
      </c>
      <c r="S17" s="116"/>
      <c r="T17" s="116"/>
      <c r="U17" s="116"/>
      <c r="V17" s="139" t="s">
        <v>254</v>
      </c>
      <c r="W17" s="107">
        <v>1</v>
      </c>
      <c r="X17" s="108"/>
      <c r="Y17" s="108"/>
      <c r="Z17" s="108"/>
      <c r="AA17" s="103"/>
      <c r="AB17" s="31"/>
      <c r="AC17" s="31"/>
      <c r="AD17" s="31"/>
      <c r="AE17" s="32"/>
      <c r="AF17" s="33"/>
      <c r="AG17" s="31"/>
      <c r="AH17" s="31"/>
      <c r="AI17" s="32"/>
      <c r="AJ17" s="30">
        <v>1</v>
      </c>
      <c r="AK17" s="31"/>
      <c r="AL17" s="31"/>
      <c r="AM17" s="32"/>
      <c r="AN17" s="33"/>
      <c r="AO17" s="31"/>
      <c r="AP17" s="31"/>
      <c r="AQ17" s="32"/>
      <c r="AR17" s="33"/>
      <c r="AS17" s="31"/>
      <c r="AT17" s="31"/>
      <c r="AU17" s="32"/>
      <c r="AV17" s="30">
        <v>1</v>
      </c>
      <c r="AW17" s="31"/>
      <c r="AX17" s="31"/>
      <c r="AY17" s="32"/>
      <c r="AZ17" s="33"/>
      <c r="BA17" s="31"/>
      <c r="BB17" s="31"/>
      <c r="BC17" s="32"/>
      <c r="BD17" s="33"/>
      <c r="BE17" s="31"/>
      <c r="BF17" s="31"/>
      <c r="BG17" s="32"/>
      <c r="BH17" s="30">
        <v>1</v>
      </c>
      <c r="BI17" s="31"/>
      <c r="BJ17" s="31"/>
      <c r="BK17" s="32"/>
      <c r="BL17" s="34"/>
      <c r="BM17" s="31"/>
      <c r="BN17" s="31"/>
      <c r="BO17" s="32"/>
      <c r="BP17" s="34"/>
      <c r="BQ17" s="31"/>
      <c r="BR17" s="31"/>
      <c r="BS17" s="32"/>
    </row>
    <row r="18" spans="1:71" ht="48" x14ac:dyDescent="0.3">
      <c r="A18" s="26" t="s">
        <v>458</v>
      </c>
      <c r="B18" s="51" t="s">
        <v>268</v>
      </c>
      <c r="C18" s="138" t="s">
        <v>304</v>
      </c>
      <c r="D18" s="138" t="s">
        <v>290</v>
      </c>
      <c r="E18" s="113" t="s">
        <v>305</v>
      </c>
      <c r="F18" s="113"/>
      <c r="G18" s="113" t="s">
        <v>292</v>
      </c>
      <c r="H18" s="116">
        <v>2024</v>
      </c>
      <c r="I18" s="140"/>
      <c r="J18" s="116">
        <v>10</v>
      </c>
      <c r="K18" s="141">
        <f t="shared" si="15"/>
        <v>0.1</v>
      </c>
      <c r="L18" s="142">
        <f t="shared" si="16"/>
        <v>0</v>
      </c>
      <c r="M18" s="119">
        <f t="shared" si="17"/>
        <v>0</v>
      </c>
      <c r="N18" s="120">
        <f t="shared" si="18"/>
        <v>0</v>
      </c>
      <c r="O18" s="121"/>
      <c r="P18" s="122">
        <f t="shared" si="19"/>
        <v>0.2</v>
      </c>
      <c r="Q18" s="119">
        <f t="shared" si="20"/>
        <v>0</v>
      </c>
      <c r="R18" s="119">
        <f t="shared" si="21"/>
        <v>0</v>
      </c>
      <c r="S18" s="116"/>
      <c r="T18" s="116"/>
      <c r="U18" s="116"/>
      <c r="V18" s="139" t="s">
        <v>254</v>
      </c>
      <c r="W18" s="107">
        <v>1</v>
      </c>
      <c r="X18" s="108"/>
      <c r="Y18" s="108"/>
      <c r="Z18" s="108"/>
      <c r="AA18" s="103"/>
      <c r="AB18" s="31"/>
      <c r="AC18" s="31"/>
      <c r="AD18" s="31"/>
      <c r="AE18" s="32"/>
      <c r="AF18" s="33"/>
      <c r="AG18" s="31"/>
      <c r="AH18" s="31"/>
      <c r="AI18" s="32"/>
      <c r="AJ18" s="30">
        <v>1</v>
      </c>
      <c r="AK18" s="31"/>
      <c r="AL18" s="31"/>
      <c r="AM18" s="32"/>
      <c r="AN18" s="33"/>
      <c r="AO18" s="31"/>
      <c r="AP18" s="31"/>
      <c r="AQ18" s="32"/>
      <c r="AR18" s="33"/>
      <c r="AS18" s="31"/>
      <c r="AT18" s="31"/>
      <c r="AU18" s="32"/>
      <c r="AV18" s="30">
        <v>1</v>
      </c>
      <c r="AW18" s="31"/>
      <c r="AX18" s="31"/>
      <c r="AY18" s="32"/>
      <c r="AZ18" s="33"/>
      <c r="BA18" s="31"/>
      <c r="BB18" s="31"/>
      <c r="BC18" s="32"/>
      <c r="BD18" s="33"/>
      <c r="BE18" s="31"/>
      <c r="BF18" s="31"/>
      <c r="BG18" s="32"/>
      <c r="BH18" s="30">
        <v>1</v>
      </c>
      <c r="BI18" s="31"/>
      <c r="BJ18" s="31"/>
      <c r="BK18" s="32"/>
      <c r="BL18" s="34"/>
      <c r="BM18" s="31"/>
      <c r="BN18" s="31"/>
      <c r="BO18" s="32"/>
      <c r="BP18" s="34"/>
      <c r="BQ18" s="31"/>
      <c r="BR18" s="31"/>
      <c r="BS18" s="32"/>
    </row>
    <row r="19" spans="1:71" ht="48" x14ac:dyDescent="0.3">
      <c r="A19" s="26" t="s">
        <v>458</v>
      </c>
      <c r="B19" s="51" t="s">
        <v>269</v>
      </c>
      <c r="C19" s="138" t="s">
        <v>304</v>
      </c>
      <c r="D19" s="138" t="s">
        <v>270</v>
      </c>
      <c r="E19" s="113" t="s">
        <v>305</v>
      </c>
      <c r="F19" s="113"/>
      <c r="G19" s="113" t="s">
        <v>294</v>
      </c>
      <c r="H19" s="116">
        <v>2024</v>
      </c>
      <c r="I19" s="140"/>
      <c r="J19" s="116">
        <v>10</v>
      </c>
      <c r="K19" s="141">
        <f t="shared" si="15"/>
        <v>0.1</v>
      </c>
      <c r="L19" s="142">
        <f t="shared" si="16"/>
        <v>0</v>
      </c>
      <c r="M19" s="119">
        <f t="shared" si="17"/>
        <v>0</v>
      </c>
      <c r="N19" s="120">
        <f t="shared" si="18"/>
        <v>0</v>
      </c>
      <c r="O19" s="121"/>
      <c r="P19" s="122">
        <f t="shared" si="19"/>
        <v>0.2</v>
      </c>
      <c r="Q19" s="119">
        <f t="shared" si="20"/>
        <v>0</v>
      </c>
      <c r="R19" s="119">
        <f t="shared" si="21"/>
        <v>0</v>
      </c>
      <c r="S19" s="116"/>
      <c r="T19" s="116"/>
      <c r="U19" s="116"/>
      <c r="V19" s="139" t="s">
        <v>254</v>
      </c>
      <c r="W19" s="107">
        <v>1</v>
      </c>
      <c r="X19" s="108"/>
      <c r="Y19" s="108"/>
      <c r="Z19" s="108"/>
      <c r="AA19" s="103"/>
      <c r="AB19" s="31"/>
      <c r="AC19" s="31"/>
      <c r="AD19" s="31"/>
      <c r="AE19" s="32"/>
      <c r="AF19" s="33"/>
      <c r="AG19" s="31"/>
      <c r="AH19" s="31"/>
      <c r="AI19" s="32"/>
      <c r="AJ19" s="30">
        <v>1</v>
      </c>
      <c r="AK19" s="31"/>
      <c r="AL19" s="31"/>
      <c r="AM19" s="32"/>
      <c r="AN19" s="33"/>
      <c r="AO19" s="31"/>
      <c r="AP19" s="31"/>
      <c r="AQ19" s="32"/>
      <c r="AR19" s="33"/>
      <c r="AS19" s="31"/>
      <c r="AT19" s="31"/>
      <c r="AU19" s="32"/>
      <c r="AV19" s="30">
        <v>1</v>
      </c>
      <c r="AW19" s="31"/>
      <c r="AX19" s="31"/>
      <c r="AY19" s="32"/>
      <c r="AZ19" s="33"/>
      <c r="BA19" s="31"/>
      <c r="BB19" s="31"/>
      <c r="BC19" s="32"/>
      <c r="BD19" s="33"/>
      <c r="BE19" s="31"/>
      <c r="BF19" s="31"/>
      <c r="BG19" s="32"/>
      <c r="BH19" s="30">
        <v>1</v>
      </c>
      <c r="BI19" s="31"/>
      <c r="BJ19" s="31"/>
      <c r="BK19" s="32"/>
      <c r="BL19" s="34"/>
      <c r="BM19" s="31"/>
      <c r="BN19" s="31"/>
      <c r="BO19" s="32"/>
      <c r="BP19" s="34"/>
      <c r="BQ19" s="31"/>
      <c r="BR19" s="31"/>
      <c r="BS19" s="32"/>
    </row>
    <row r="20" spans="1:71" ht="48" x14ac:dyDescent="0.3">
      <c r="A20" s="26" t="s">
        <v>458</v>
      </c>
      <c r="B20" s="51" t="s">
        <v>271</v>
      </c>
      <c r="C20" s="138" t="s">
        <v>304</v>
      </c>
      <c r="D20" s="138" t="s">
        <v>270</v>
      </c>
      <c r="E20" s="113" t="s">
        <v>305</v>
      </c>
      <c r="F20" s="113"/>
      <c r="G20" s="113" t="s">
        <v>294</v>
      </c>
      <c r="H20" s="116">
        <v>2024</v>
      </c>
      <c r="I20" s="140"/>
      <c r="J20" s="116">
        <v>10</v>
      </c>
      <c r="K20" s="141">
        <f t="shared" si="15"/>
        <v>0.1</v>
      </c>
      <c r="L20" s="142">
        <f t="shared" si="16"/>
        <v>0</v>
      </c>
      <c r="M20" s="119">
        <f t="shared" si="17"/>
        <v>0</v>
      </c>
      <c r="N20" s="120">
        <f t="shared" si="18"/>
        <v>0</v>
      </c>
      <c r="O20" s="121"/>
      <c r="P20" s="122">
        <f t="shared" si="19"/>
        <v>0.2</v>
      </c>
      <c r="Q20" s="119">
        <f t="shared" si="20"/>
        <v>0</v>
      </c>
      <c r="R20" s="119">
        <f t="shared" si="21"/>
        <v>0</v>
      </c>
      <c r="S20" s="116"/>
      <c r="T20" s="116"/>
      <c r="U20" s="116"/>
      <c r="V20" s="139" t="s">
        <v>254</v>
      </c>
      <c r="W20" s="107">
        <v>1</v>
      </c>
      <c r="X20" s="108"/>
      <c r="Y20" s="108"/>
      <c r="Z20" s="108"/>
      <c r="AA20" s="103"/>
      <c r="AB20" s="31"/>
      <c r="AC20" s="31"/>
      <c r="AD20" s="31"/>
      <c r="AE20" s="32"/>
      <c r="AF20" s="33"/>
      <c r="AG20" s="31"/>
      <c r="AH20" s="31"/>
      <c r="AI20" s="32"/>
      <c r="AJ20" s="30">
        <v>1</v>
      </c>
      <c r="AK20" s="31"/>
      <c r="AL20" s="31"/>
      <c r="AM20" s="32"/>
      <c r="AN20" s="33"/>
      <c r="AO20" s="31"/>
      <c r="AP20" s="31"/>
      <c r="AQ20" s="32"/>
      <c r="AR20" s="33"/>
      <c r="AS20" s="31"/>
      <c r="AT20" s="31"/>
      <c r="AU20" s="32"/>
      <c r="AV20" s="30">
        <v>1</v>
      </c>
      <c r="AW20" s="31"/>
      <c r="AX20" s="31"/>
      <c r="AY20" s="32"/>
      <c r="AZ20" s="33"/>
      <c r="BA20" s="31"/>
      <c r="BB20" s="31"/>
      <c r="BC20" s="32"/>
      <c r="BD20" s="33"/>
      <c r="BE20" s="31"/>
      <c r="BF20" s="31"/>
      <c r="BG20" s="32"/>
      <c r="BH20" s="30">
        <v>1</v>
      </c>
      <c r="BI20" s="31"/>
      <c r="BJ20" s="31"/>
      <c r="BK20" s="32"/>
      <c r="BL20" s="34"/>
      <c r="BM20" s="31"/>
      <c r="BN20" s="31"/>
      <c r="BO20" s="32"/>
      <c r="BP20" s="34"/>
      <c r="BQ20" s="31"/>
      <c r="BR20" s="31"/>
      <c r="BS20" s="32"/>
    </row>
    <row r="21" spans="1:71" ht="48" x14ac:dyDescent="0.3">
      <c r="A21" s="26" t="s">
        <v>458</v>
      </c>
      <c r="B21" s="51" t="s">
        <v>272</v>
      </c>
      <c r="C21" s="138" t="s">
        <v>304</v>
      </c>
      <c r="D21" s="138" t="s">
        <v>289</v>
      </c>
      <c r="E21" s="113" t="s">
        <v>305</v>
      </c>
      <c r="F21" s="113"/>
      <c r="G21" s="113" t="s">
        <v>295</v>
      </c>
      <c r="H21" s="116">
        <v>2024</v>
      </c>
      <c r="I21" s="140"/>
      <c r="J21" s="116">
        <v>10</v>
      </c>
      <c r="K21" s="141">
        <f t="shared" si="15"/>
        <v>0.1</v>
      </c>
      <c r="L21" s="142">
        <f t="shared" si="16"/>
        <v>0</v>
      </c>
      <c r="M21" s="119">
        <f t="shared" si="17"/>
        <v>0</v>
      </c>
      <c r="N21" s="120">
        <f t="shared" si="18"/>
        <v>0</v>
      </c>
      <c r="O21" s="121"/>
      <c r="P21" s="122">
        <f t="shared" si="19"/>
        <v>0.2</v>
      </c>
      <c r="Q21" s="119">
        <f t="shared" si="20"/>
        <v>0</v>
      </c>
      <c r="R21" s="119">
        <f t="shared" si="21"/>
        <v>0</v>
      </c>
      <c r="S21" s="116"/>
      <c r="T21" s="116"/>
      <c r="U21" s="116"/>
      <c r="V21" s="139" t="s">
        <v>254</v>
      </c>
      <c r="W21" s="107">
        <v>1</v>
      </c>
      <c r="X21" s="108"/>
      <c r="Y21" s="108"/>
      <c r="Z21" s="108"/>
      <c r="AA21" s="103"/>
      <c r="AB21" s="31"/>
      <c r="AC21" s="31"/>
      <c r="AD21" s="31"/>
      <c r="AE21" s="32"/>
      <c r="AF21" s="33"/>
      <c r="AG21" s="31"/>
      <c r="AH21" s="31"/>
      <c r="AI21" s="32"/>
      <c r="AJ21" s="30">
        <v>1</v>
      </c>
      <c r="AK21" s="31"/>
      <c r="AL21" s="31"/>
      <c r="AM21" s="32"/>
      <c r="AN21" s="33"/>
      <c r="AO21" s="31"/>
      <c r="AP21" s="31"/>
      <c r="AQ21" s="32"/>
      <c r="AR21" s="33"/>
      <c r="AS21" s="31"/>
      <c r="AT21" s="31"/>
      <c r="AU21" s="32"/>
      <c r="AV21" s="30">
        <v>1</v>
      </c>
      <c r="AW21" s="31"/>
      <c r="AX21" s="31"/>
      <c r="AY21" s="32"/>
      <c r="AZ21" s="33"/>
      <c r="BA21" s="31"/>
      <c r="BB21" s="31"/>
      <c r="BC21" s="32"/>
      <c r="BD21" s="33"/>
      <c r="BE21" s="31"/>
      <c r="BF21" s="31"/>
      <c r="BG21" s="32"/>
      <c r="BH21" s="30">
        <v>1</v>
      </c>
      <c r="BI21" s="31"/>
      <c r="BJ21" s="31"/>
      <c r="BK21" s="32"/>
      <c r="BL21" s="34"/>
      <c r="BM21" s="31"/>
      <c r="BN21" s="31"/>
      <c r="BO21" s="32"/>
      <c r="BP21" s="34"/>
      <c r="BQ21" s="31"/>
      <c r="BR21" s="31"/>
      <c r="BS21" s="32"/>
    </row>
    <row r="22" spans="1:71" ht="48" x14ac:dyDescent="0.3">
      <c r="A22" s="26" t="s">
        <v>458</v>
      </c>
      <c r="B22" s="51" t="s">
        <v>273</v>
      </c>
      <c r="C22" s="138" t="s">
        <v>304</v>
      </c>
      <c r="D22" s="138" t="s">
        <v>289</v>
      </c>
      <c r="E22" s="113" t="s">
        <v>305</v>
      </c>
      <c r="F22" s="113"/>
      <c r="G22" s="113" t="s">
        <v>296</v>
      </c>
      <c r="H22" s="116">
        <v>2024</v>
      </c>
      <c r="I22" s="140"/>
      <c r="J22" s="116">
        <v>10</v>
      </c>
      <c r="K22" s="141">
        <f t="shared" si="15"/>
        <v>0.1</v>
      </c>
      <c r="L22" s="142">
        <f t="shared" si="16"/>
        <v>0</v>
      </c>
      <c r="M22" s="119">
        <f t="shared" si="17"/>
        <v>0</v>
      </c>
      <c r="N22" s="120">
        <f t="shared" si="18"/>
        <v>0</v>
      </c>
      <c r="O22" s="121"/>
      <c r="P22" s="122">
        <f t="shared" si="19"/>
        <v>0.2</v>
      </c>
      <c r="Q22" s="119">
        <f t="shared" si="20"/>
        <v>0</v>
      </c>
      <c r="R22" s="119">
        <f t="shared" si="21"/>
        <v>0</v>
      </c>
      <c r="S22" s="116"/>
      <c r="T22" s="116"/>
      <c r="U22" s="116"/>
      <c r="V22" s="139" t="s">
        <v>254</v>
      </c>
      <c r="W22" s="107">
        <v>1</v>
      </c>
      <c r="X22" s="108"/>
      <c r="Y22" s="108"/>
      <c r="Z22" s="108"/>
      <c r="AA22" s="103"/>
      <c r="AB22" s="31"/>
      <c r="AC22" s="31"/>
      <c r="AD22" s="31"/>
      <c r="AE22" s="32"/>
      <c r="AF22" s="33"/>
      <c r="AG22" s="31"/>
      <c r="AH22" s="31"/>
      <c r="AI22" s="32"/>
      <c r="AJ22" s="30">
        <v>1</v>
      </c>
      <c r="AK22" s="31"/>
      <c r="AL22" s="31"/>
      <c r="AM22" s="32"/>
      <c r="AN22" s="33"/>
      <c r="AO22" s="31"/>
      <c r="AP22" s="31"/>
      <c r="AQ22" s="32"/>
      <c r="AR22" s="33"/>
      <c r="AS22" s="31"/>
      <c r="AT22" s="31"/>
      <c r="AU22" s="32"/>
      <c r="AV22" s="30">
        <v>1</v>
      </c>
      <c r="AW22" s="31"/>
      <c r="AX22" s="31"/>
      <c r="AY22" s="32"/>
      <c r="AZ22" s="33"/>
      <c r="BA22" s="31"/>
      <c r="BB22" s="31"/>
      <c r="BC22" s="32"/>
      <c r="BD22" s="33"/>
      <c r="BE22" s="31"/>
      <c r="BF22" s="31"/>
      <c r="BG22" s="32"/>
      <c r="BH22" s="30">
        <v>1</v>
      </c>
      <c r="BI22" s="31"/>
      <c r="BJ22" s="31"/>
      <c r="BK22" s="32"/>
      <c r="BL22" s="34"/>
      <c r="BM22" s="31"/>
      <c r="BN22" s="31"/>
      <c r="BO22" s="32"/>
      <c r="BP22" s="34"/>
      <c r="BQ22" s="31"/>
      <c r="BR22" s="31"/>
      <c r="BS22" s="32"/>
    </row>
    <row r="23" spans="1:71" ht="48" x14ac:dyDescent="0.3">
      <c r="A23" s="26" t="s">
        <v>458</v>
      </c>
      <c r="B23" s="51" t="s">
        <v>274</v>
      </c>
      <c r="C23" s="138" t="s">
        <v>304</v>
      </c>
      <c r="D23" s="138" t="s">
        <v>289</v>
      </c>
      <c r="E23" s="113" t="s">
        <v>305</v>
      </c>
      <c r="F23" s="113"/>
      <c r="G23" s="113" t="s">
        <v>295</v>
      </c>
      <c r="H23" s="116">
        <v>2024</v>
      </c>
      <c r="I23" s="140"/>
      <c r="J23" s="116">
        <v>10</v>
      </c>
      <c r="K23" s="141">
        <f t="shared" si="15"/>
        <v>0.1</v>
      </c>
      <c r="L23" s="142">
        <f t="shared" si="16"/>
        <v>0</v>
      </c>
      <c r="M23" s="119">
        <f t="shared" si="17"/>
        <v>0</v>
      </c>
      <c r="N23" s="120">
        <f t="shared" si="18"/>
        <v>0</v>
      </c>
      <c r="O23" s="121"/>
      <c r="P23" s="122">
        <f t="shared" si="19"/>
        <v>0.2</v>
      </c>
      <c r="Q23" s="119">
        <f t="shared" si="20"/>
        <v>0</v>
      </c>
      <c r="R23" s="119">
        <f t="shared" si="21"/>
        <v>0</v>
      </c>
      <c r="S23" s="116"/>
      <c r="T23" s="116"/>
      <c r="U23" s="116"/>
      <c r="V23" s="139" t="s">
        <v>254</v>
      </c>
      <c r="W23" s="107">
        <v>1</v>
      </c>
      <c r="X23" s="108"/>
      <c r="Y23" s="108"/>
      <c r="Z23" s="108"/>
      <c r="AA23" s="103"/>
      <c r="AB23" s="31"/>
      <c r="AC23" s="31"/>
      <c r="AD23" s="31"/>
      <c r="AE23" s="32"/>
      <c r="AF23" s="33"/>
      <c r="AG23" s="31"/>
      <c r="AH23" s="31"/>
      <c r="AI23" s="32"/>
      <c r="AJ23" s="30">
        <v>1</v>
      </c>
      <c r="AK23" s="31"/>
      <c r="AL23" s="31"/>
      <c r="AM23" s="32"/>
      <c r="AN23" s="33"/>
      <c r="AO23" s="31"/>
      <c r="AP23" s="31"/>
      <c r="AQ23" s="32"/>
      <c r="AR23" s="33"/>
      <c r="AS23" s="31"/>
      <c r="AT23" s="31"/>
      <c r="AU23" s="32"/>
      <c r="AV23" s="30">
        <v>1</v>
      </c>
      <c r="AW23" s="31"/>
      <c r="AX23" s="31"/>
      <c r="AY23" s="32"/>
      <c r="AZ23" s="33"/>
      <c r="BA23" s="31"/>
      <c r="BB23" s="31"/>
      <c r="BC23" s="32"/>
      <c r="BD23" s="33"/>
      <c r="BE23" s="31"/>
      <c r="BF23" s="31"/>
      <c r="BG23" s="32"/>
      <c r="BH23" s="30">
        <v>1</v>
      </c>
      <c r="BI23" s="31"/>
      <c r="BJ23" s="31"/>
      <c r="BK23" s="32"/>
      <c r="BL23" s="34"/>
      <c r="BM23" s="31"/>
      <c r="BN23" s="31"/>
      <c r="BO23" s="32"/>
      <c r="BP23" s="34"/>
      <c r="BQ23" s="31"/>
      <c r="BR23" s="31"/>
      <c r="BS23" s="32"/>
    </row>
    <row r="24" spans="1:71" ht="48" x14ac:dyDescent="0.3">
      <c r="A24" s="26" t="s">
        <v>458</v>
      </c>
      <c r="B24" s="51" t="s">
        <v>275</v>
      </c>
      <c r="C24" s="138" t="s">
        <v>303</v>
      </c>
      <c r="D24" s="138" t="s">
        <v>276</v>
      </c>
      <c r="E24" s="113" t="s">
        <v>305</v>
      </c>
      <c r="F24" s="116"/>
      <c r="G24" s="113" t="s">
        <v>297</v>
      </c>
      <c r="H24" s="116">
        <v>2024</v>
      </c>
      <c r="I24" s="140"/>
      <c r="J24" s="116">
        <v>10</v>
      </c>
      <c r="K24" s="141">
        <f t="shared" si="15"/>
        <v>0.1</v>
      </c>
      <c r="L24" s="142">
        <f t="shared" si="16"/>
        <v>0</v>
      </c>
      <c r="M24" s="119">
        <f t="shared" si="17"/>
        <v>0</v>
      </c>
      <c r="N24" s="120">
        <f t="shared" si="18"/>
        <v>0</v>
      </c>
      <c r="O24" s="121"/>
      <c r="P24" s="122">
        <f t="shared" si="19"/>
        <v>0.2</v>
      </c>
      <c r="Q24" s="119">
        <f t="shared" si="20"/>
        <v>0</v>
      </c>
      <c r="R24" s="119">
        <f t="shared" si="21"/>
        <v>0</v>
      </c>
      <c r="S24" s="116"/>
      <c r="T24" s="116"/>
      <c r="U24" s="116"/>
      <c r="V24" s="139" t="s">
        <v>254</v>
      </c>
      <c r="W24" s="107">
        <v>1</v>
      </c>
      <c r="X24" s="108"/>
      <c r="Y24" s="108"/>
      <c r="Z24" s="108"/>
      <c r="AA24" s="103"/>
      <c r="AB24" s="31"/>
      <c r="AC24" s="31"/>
      <c r="AD24" s="31"/>
      <c r="AE24" s="32"/>
      <c r="AF24" s="33"/>
      <c r="AG24" s="31"/>
      <c r="AH24" s="31"/>
      <c r="AI24" s="32"/>
      <c r="AJ24" s="30">
        <v>1</v>
      </c>
      <c r="AK24" s="31"/>
      <c r="AL24" s="31"/>
      <c r="AM24" s="32"/>
      <c r="AN24" s="33"/>
      <c r="AO24" s="31"/>
      <c r="AP24" s="31"/>
      <c r="AQ24" s="32"/>
      <c r="AR24" s="33"/>
      <c r="AS24" s="31"/>
      <c r="AT24" s="31"/>
      <c r="AU24" s="32"/>
      <c r="AV24" s="30">
        <v>1</v>
      </c>
      <c r="AW24" s="31"/>
      <c r="AX24" s="31"/>
      <c r="AY24" s="32"/>
      <c r="AZ24" s="33"/>
      <c r="BA24" s="31"/>
      <c r="BB24" s="31"/>
      <c r="BC24" s="32"/>
      <c r="BD24" s="33"/>
      <c r="BE24" s="31"/>
      <c r="BF24" s="31"/>
      <c r="BG24" s="32"/>
      <c r="BH24" s="30">
        <v>1</v>
      </c>
      <c r="BI24" s="31"/>
      <c r="BJ24" s="31"/>
      <c r="BK24" s="32"/>
      <c r="BL24" s="34"/>
      <c r="BM24" s="31"/>
      <c r="BN24" s="31"/>
      <c r="BO24" s="32"/>
      <c r="BP24" s="34"/>
      <c r="BQ24" s="31"/>
      <c r="BR24" s="31"/>
      <c r="BS24" s="32"/>
    </row>
    <row r="25" spans="1:71" ht="48" x14ac:dyDescent="0.3">
      <c r="A25" s="26" t="s">
        <v>458</v>
      </c>
      <c r="B25" s="51" t="s">
        <v>275</v>
      </c>
      <c r="C25" s="138" t="s">
        <v>303</v>
      </c>
      <c r="D25" s="138" t="s">
        <v>291</v>
      </c>
      <c r="E25" s="113" t="s">
        <v>305</v>
      </c>
      <c r="F25" s="116"/>
      <c r="G25" s="113" t="s">
        <v>297</v>
      </c>
      <c r="H25" s="116">
        <v>2024</v>
      </c>
      <c r="I25" s="140"/>
      <c r="J25" s="116">
        <v>10</v>
      </c>
      <c r="K25" s="141">
        <f t="shared" si="15"/>
        <v>0.1</v>
      </c>
      <c r="L25" s="142">
        <f t="shared" si="16"/>
        <v>0</v>
      </c>
      <c r="M25" s="119">
        <f t="shared" si="17"/>
        <v>0</v>
      </c>
      <c r="N25" s="120">
        <f t="shared" si="18"/>
        <v>0</v>
      </c>
      <c r="O25" s="121"/>
      <c r="P25" s="122">
        <f t="shared" si="19"/>
        <v>0.2</v>
      </c>
      <c r="Q25" s="119">
        <f t="shared" si="20"/>
        <v>0</v>
      </c>
      <c r="R25" s="119">
        <f t="shared" si="21"/>
        <v>0</v>
      </c>
      <c r="S25" s="116"/>
      <c r="T25" s="116"/>
      <c r="U25" s="116"/>
      <c r="V25" s="139" t="s">
        <v>254</v>
      </c>
      <c r="W25" s="107">
        <v>1</v>
      </c>
      <c r="X25" s="108"/>
      <c r="Y25" s="108"/>
      <c r="Z25" s="108"/>
      <c r="AA25" s="103"/>
      <c r="AB25" s="31"/>
      <c r="AC25" s="31"/>
      <c r="AD25" s="31"/>
      <c r="AE25" s="32"/>
      <c r="AF25" s="33"/>
      <c r="AG25" s="31"/>
      <c r="AH25" s="31"/>
      <c r="AI25" s="32"/>
      <c r="AJ25" s="30">
        <v>1</v>
      </c>
      <c r="AK25" s="31"/>
      <c r="AL25" s="31"/>
      <c r="AM25" s="32"/>
      <c r="AN25" s="33"/>
      <c r="AO25" s="31"/>
      <c r="AP25" s="31"/>
      <c r="AQ25" s="32"/>
      <c r="AR25" s="33"/>
      <c r="AS25" s="31"/>
      <c r="AT25" s="31"/>
      <c r="AU25" s="32"/>
      <c r="AV25" s="30">
        <v>1</v>
      </c>
      <c r="AW25" s="31"/>
      <c r="AX25" s="31"/>
      <c r="AY25" s="32"/>
      <c r="AZ25" s="33"/>
      <c r="BA25" s="31"/>
      <c r="BB25" s="31"/>
      <c r="BC25" s="32"/>
      <c r="BD25" s="33"/>
      <c r="BE25" s="31"/>
      <c r="BF25" s="31"/>
      <c r="BG25" s="32"/>
      <c r="BH25" s="30">
        <v>1</v>
      </c>
      <c r="BI25" s="31"/>
      <c r="BJ25" s="31"/>
      <c r="BK25" s="32"/>
      <c r="BL25" s="34"/>
      <c r="BM25" s="31"/>
      <c r="BN25" s="31"/>
      <c r="BO25" s="32"/>
      <c r="BP25" s="34"/>
      <c r="BQ25" s="31"/>
      <c r="BR25" s="31"/>
      <c r="BS25" s="32"/>
    </row>
    <row r="26" spans="1:71" ht="48" x14ac:dyDescent="0.3">
      <c r="A26" s="26" t="s">
        <v>458</v>
      </c>
      <c r="B26" s="51" t="s">
        <v>277</v>
      </c>
      <c r="C26" s="138" t="s">
        <v>71</v>
      </c>
      <c r="D26" s="138" t="s">
        <v>276</v>
      </c>
      <c r="E26" s="113" t="s">
        <v>305</v>
      </c>
      <c r="F26" s="116"/>
      <c r="G26" s="113" t="s">
        <v>297</v>
      </c>
      <c r="H26" s="116">
        <v>2024</v>
      </c>
      <c r="I26" s="140"/>
      <c r="J26" s="116">
        <v>10</v>
      </c>
      <c r="K26" s="141">
        <f t="shared" si="15"/>
        <v>0.1</v>
      </c>
      <c r="L26" s="142">
        <f t="shared" si="16"/>
        <v>0</v>
      </c>
      <c r="M26" s="119">
        <f t="shared" si="17"/>
        <v>0</v>
      </c>
      <c r="N26" s="120">
        <f t="shared" si="18"/>
        <v>0</v>
      </c>
      <c r="O26" s="121"/>
      <c r="P26" s="122">
        <f t="shared" si="19"/>
        <v>0.2</v>
      </c>
      <c r="Q26" s="119">
        <f t="shared" si="20"/>
        <v>0</v>
      </c>
      <c r="R26" s="119">
        <f t="shared" si="21"/>
        <v>0</v>
      </c>
      <c r="S26" s="116"/>
      <c r="T26" s="116"/>
      <c r="U26" s="116"/>
      <c r="V26" s="139" t="s">
        <v>254</v>
      </c>
      <c r="W26" s="107">
        <v>1</v>
      </c>
      <c r="X26" s="108"/>
      <c r="Y26" s="108"/>
      <c r="Z26" s="108"/>
      <c r="AA26" s="103"/>
      <c r="AB26" s="31"/>
      <c r="AC26" s="31"/>
      <c r="AD26" s="31"/>
      <c r="AE26" s="32"/>
      <c r="AF26" s="33"/>
      <c r="AG26" s="31"/>
      <c r="AH26" s="31"/>
      <c r="AI26" s="32"/>
      <c r="AJ26" s="30">
        <v>1</v>
      </c>
      <c r="AK26" s="31"/>
      <c r="AL26" s="31"/>
      <c r="AM26" s="32"/>
      <c r="AN26" s="33"/>
      <c r="AO26" s="31"/>
      <c r="AP26" s="31"/>
      <c r="AQ26" s="32"/>
      <c r="AR26" s="33"/>
      <c r="AS26" s="31"/>
      <c r="AT26" s="31"/>
      <c r="AU26" s="32"/>
      <c r="AV26" s="30">
        <v>1</v>
      </c>
      <c r="AW26" s="31"/>
      <c r="AX26" s="31"/>
      <c r="AY26" s="32"/>
      <c r="AZ26" s="33"/>
      <c r="BA26" s="31"/>
      <c r="BB26" s="31"/>
      <c r="BC26" s="32"/>
      <c r="BD26" s="33"/>
      <c r="BE26" s="31"/>
      <c r="BF26" s="31"/>
      <c r="BG26" s="32"/>
      <c r="BH26" s="30">
        <v>1</v>
      </c>
      <c r="BI26" s="31"/>
      <c r="BJ26" s="31"/>
      <c r="BK26" s="32"/>
      <c r="BL26" s="34"/>
      <c r="BM26" s="31"/>
      <c r="BN26" s="31"/>
      <c r="BO26" s="32"/>
      <c r="BP26" s="34"/>
      <c r="BQ26" s="31"/>
      <c r="BR26" s="31"/>
      <c r="BS26" s="32"/>
    </row>
    <row r="27" spans="1:71" ht="48" x14ac:dyDescent="0.3">
      <c r="A27" s="26" t="s">
        <v>458</v>
      </c>
      <c r="B27" s="51" t="s">
        <v>278</v>
      </c>
      <c r="C27" s="138" t="s">
        <v>71</v>
      </c>
      <c r="D27" s="138" t="s">
        <v>276</v>
      </c>
      <c r="E27" s="113" t="s">
        <v>305</v>
      </c>
      <c r="F27" s="116"/>
      <c r="G27" s="113" t="s">
        <v>298</v>
      </c>
      <c r="H27" s="116">
        <v>2024</v>
      </c>
      <c r="I27" s="140"/>
      <c r="J27" s="116">
        <v>10</v>
      </c>
      <c r="K27" s="141">
        <f t="shared" si="15"/>
        <v>0.1</v>
      </c>
      <c r="L27" s="142">
        <f t="shared" si="16"/>
        <v>0</v>
      </c>
      <c r="M27" s="119">
        <f t="shared" si="17"/>
        <v>0</v>
      </c>
      <c r="N27" s="120">
        <f t="shared" si="18"/>
        <v>0</v>
      </c>
      <c r="O27" s="121"/>
      <c r="P27" s="122">
        <f t="shared" si="19"/>
        <v>0.2</v>
      </c>
      <c r="Q27" s="119">
        <f t="shared" si="20"/>
        <v>0</v>
      </c>
      <c r="R27" s="119">
        <f t="shared" si="21"/>
        <v>0</v>
      </c>
      <c r="S27" s="116"/>
      <c r="T27" s="116"/>
      <c r="U27" s="116"/>
      <c r="V27" s="139" t="s">
        <v>254</v>
      </c>
      <c r="W27" s="107">
        <v>1</v>
      </c>
      <c r="X27" s="108"/>
      <c r="Y27" s="108"/>
      <c r="Z27" s="108"/>
      <c r="AA27" s="103"/>
      <c r="AB27" s="31"/>
      <c r="AC27" s="31"/>
      <c r="AD27" s="31"/>
      <c r="AE27" s="32"/>
      <c r="AF27" s="33"/>
      <c r="AG27" s="31"/>
      <c r="AH27" s="31"/>
      <c r="AI27" s="32"/>
      <c r="AJ27" s="30">
        <v>1</v>
      </c>
      <c r="AK27" s="31"/>
      <c r="AL27" s="31"/>
      <c r="AM27" s="32"/>
      <c r="AN27" s="33"/>
      <c r="AO27" s="31"/>
      <c r="AP27" s="31"/>
      <c r="AQ27" s="32"/>
      <c r="AR27" s="33"/>
      <c r="AS27" s="31"/>
      <c r="AT27" s="31"/>
      <c r="AU27" s="32"/>
      <c r="AV27" s="30">
        <v>1</v>
      </c>
      <c r="AW27" s="31"/>
      <c r="AX27" s="31"/>
      <c r="AY27" s="32"/>
      <c r="AZ27" s="33"/>
      <c r="BA27" s="31"/>
      <c r="BB27" s="31"/>
      <c r="BC27" s="32"/>
      <c r="BD27" s="33"/>
      <c r="BE27" s="31"/>
      <c r="BF27" s="31"/>
      <c r="BG27" s="32"/>
      <c r="BH27" s="30">
        <v>1</v>
      </c>
      <c r="BI27" s="31"/>
      <c r="BJ27" s="31"/>
      <c r="BK27" s="32"/>
      <c r="BL27" s="34"/>
      <c r="BM27" s="31"/>
      <c r="BN27" s="31"/>
      <c r="BO27" s="32"/>
      <c r="BP27" s="34"/>
      <c r="BQ27" s="31"/>
      <c r="BR27" s="31"/>
      <c r="BS27" s="32"/>
    </row>
    <row r="28" spans="1:71" ht="48" x14ac:dyDescent="0.3">
      <c r="A28" s="26" t="s">
        <v>458</v>
      </c>
      <c r="B28" s="51" t="s">
        <v>279</v>
      </c>
      <c r="C28" s="138" t="s">
        <v>71</v>
      </c>
      <c r="D28" s="138" t="s">
        <v>276</v>
      </c>
      <c r="E28" s="113" t="s">
        <v>305</v>
      </c>
      <c r="F28" s="116"/>
      <c r="G28" s="113" t="s">
        <v>295</v>
      </c>
      <c r="H28" s="116">
        <v>2024</v>
      </c>
      <c r="I28" s="140"/>
      <c r="J28" s="116">
        <v>10</v>
      </c>
      <c r="K28" s="141">
        <f t="shared" si="15"/>
        <v>0.1</v>
      </c>
      <c r="L28" s="142">
        <f t="shared" si="16"/>
        <v>0</v>
      </c>
      <c r="M28" s="119">
        <f t="shared" si="17"/>
        <v>0</v>
      </c>
      <c r="N28" s="120">
        <f t="shared" si="18"/>
        <v>0</v>
      </c>
      <c r="O28" s="121"/>
      <c r="P28" s="122">
        <f t="shared" si="19"/>
        <v>0.2</v>
      </c>
      <c r="Q28" s="119">
        <f t="shared" si="20"/>
        <v>0</v>
      </c>
      <c r="R28" s="119">
        <f t="shared" si="21"/>
        <v>0</v>
      </c>
      <c r="S28" s="116"/>
      <c r="T28" s="116"/>
      <c r="U28" s="116"/>
      <c r="V28" s="139" t="s">
        <v>254</v>
      </c>
      <c r="W28" s="107">
        <v>1</v>
      </c>
      <c r="X28" s="108"/>
      <c r="Y28" s="108"/>
      <c r="Z28" s="108"/>
      <c r="AA28" s="103"/>
      <c r="AB28" s="31"/>
      <c r="AC28" s="31"/>
      <c r="AD28" s="31"/>
      <c r="AE28" s="32"/>
      <c r="AF28" s="33"/>
      <c r="AG28" s="31"/>
      <c r="AH28" s="31"/>
      <c r="AI28" s="32"/>
      <c r="AJ28" s="30">
        <v>1</v>
      </c>
      <c r="AK28" s="31"/>
      <c r="AL28" s="31"/>
      <c r="AM28" s="32"/>
      <c r="AN28" s="33"/>
      <c r="AO28" s="31"/>
      <c r="AP28" s="31"/>
      <c r="AQ28" s="32"/>
      <c r="AR28" s="33"/>
      <c r="AS28" s="31"/>
      <c r="AT28" s="31"/>
      <c r="AU28" s="32"/>
      <c r="AV28" s="30">
        <v>1</v>
      </c>
      <c r="AW28" s="31"/>
      <c r="AX28" s="31"/>
      <c r="AY28" s="32"/>
      <c r="AZ28" s="33"/>
      <c r="BA28" s="31"/>
      <c r="BB28" s="31"/>
      <c r="BC28" s="32"/>
      <c r="BD28" s="33"/>
      <c r="BE28" s="31"/>
      <c r="BF28" s="31"/>
      <c r="BG28" s="32"/>
      <c r="BH28" s="30">
        <v>1</v>
      </c>
      <c r="BI28" s="31"/>
      <c r="BJ28" s="31"/>
      <c r="BK28" s="32"/>
      <c r="BL28" s="34"/>
      <c r="BM28" s="31"/>
      <c r="BN28" s="31"/>
      <c r="BO28" s="32"/>
      <c r="BP28" s="34"/>
      <c r="BQ28" s="31"/>
      <c r="BR28" s="31"/>
      <c r="BS28" s="32"/>
    </row>
    <row r="29" spans="1:71" ht="60" x14ac:dyDescent="0.3">
      <c r="A29" s="26" t="s">
        <v>458</v>
      </c>
      <c r="B29" s="51" t="s">
        <v>280</v>
      </c>
      <c r="C29" s="138" t="s">
        <v>304</v>
      </c>
      <c r="D29" s="138" t="s">
        <v>289</v>
      </c>
      <c r="E29" s="113" t="s">
        <v>305</v>
      </c>
      <c r="F29" s="116"/>
      <c r="G29" s="116"/>
      <c r="H29" s="116">
        <v>2024</v>
      </c>
      <c r="I29" s="140"/>
      <c r="J29" s="116">
        <v>10</v>
      </c>
      <c r="K29" s="141">
        <f t="shared" si="15"/>
        <v>0.1</v>
      </c>
      <c r="L29" s="142">
        <f t="shared" si="16"/>
        <v>0</v>
      </c>
      <c r="M29" s="119">
        <f t="shared" si="17"/>
        <v>0</v>
      </c>
      <c r="N29" s="120">
        <f t="shared" si="18"/>
        <v>0</v>
      </c>
      <c r="O29" s="121"/>
      <c r="P29" s="122">
        <f t="shared" si="19"/>
        <v>0.2</v>
      </c>
      <c r="Q29" s="119">
        <f t="shared" si="20"/>
        <v>0</v>
      </c>
      <c r="R29" s="119">
        <f t="shared" si="21"/>
        <v>0</v>
      </c>
      <c r="S29" s="116"/>
      <c r="T29" s="116"/>
      <c r="U29" s="116"/>
      <c r="V29" s="139" t="s">
        <v>254</v>
      </c>
      <c r="W29" s="107">
        <v>1</v>
      </c>
      <c r="X29" s="108"/>
      <c r="Y29" s="108"/>
      <c r="Z29" s="108"/>
      <c r="AA29" s="103"/>
      <c r="AB29" s="31"/>
      <c r="AC29" s="31"/>
      <c r="AD29" s="31"/>
      <c r="AE29" s="32"/>
      <c r="AF29" s="33"/>
      <c r="AG29" s="31"/>
      <c r="AH29" s="31"/>
      <c r="AI29" s="32"/>
      <c r="AJ29" s="30">
        <v>1</v>
      </c>
      <c r="AK29" s="31"/>
      <c r="AL29" s="31"/>
      <c r="AM29" s="32"/>
      <c r="AN29" s="33"/>
      <c r="AO29" s="31"/>
      <c r="AP29" s="31"/>
      <c r="AQ29" s="32"/>
      <c r="AR29" s="33"/>
      <c r="AS29" s="31"/>
      <c r="AT29" s="31"/>
      <c r="AU29" s="32"/>
      <c r="AV29" s="30">
        <v>1</v>
      </c>
      <c r="AW29" s="31"/>
      <c r="AX29" s="31"/>
      <c r="AY29" s="32"/>
      <c r="AZ29" s="33"/>
      <c r="BA29" s="31"/>
      <c r="BB29" s="31"/>
      <c r="BC29" s="32"/>
      <c r="BD29" s="33"/>
      <c r="BE29" s="31"/>
      <c r="BF29" s="31"/>
      <c r="BG29" s="32"/>
      <c r="BH29" s="30">
        <v>1</v>
      </c>
      <c r="BI29" s="31"/>
      <c r="BJ29" s="31"/>
      <c r="BK29" s="32"/>
      <c r="BL29" s="34"/>
      <c r="BM29" s="31"/>
      <c r="BN29" s="31"/>
      <c r="BO29" s="32"/>
      <c r="BP29" s="34"/>
      <c r="BQ29" s="31"/>
      <c r="BR29" s="31"/>
      <c r="BS29" s="32"/>
    </row>
    <row r="30" spans="1:71" ht="48" x14ac:dyDescent="0.3">
      <c r="A30" s="26" t="s">
        <v>458</v>
      </c>
      <c r="B30" s="51" t="s">
        <v>281</v>
      </c>
      <c r="C30" s="138" t="s">
        <v>71</v>
      </c>
      <c r="D30" s="138" t="s">
        <v>276</v>
      </c>
      <c r="E30" s="113" t="s">
        <v>305</v>
      </c>
      <c r="F30" s="116"/>
      <c r="G30" s="113" t="s">
        <v>299</v>
      </c>
      <c r="H30" s="116">
        <v>2024</v>
      </c>
      <c r="I30" s="140"/>
      <c r="J30" s="116">
        <v>10</v>
      </c>
      <c r="K30" s="141">
        <f t="shared" si="15"/>
        <v>0.1</v>
      </c>
      <c r="L30" s="142">
        <f t="shared" si="16"/>
        <v>0</v>
      </c>
      <c r="M30" s="119">
        <f t="shared" si="17"/>
        <v>0</v>
      </c>
      <c r="N30" s="120">
        <f t="shared" si="18"/>
        <v>0</v>
      </c>
      <c r="O30" s="121"/>
      <c r="P30" s="122">
        <f t="shared" si="19"/>
        <v>0.2</v>
      </c>
      <c r="Q30" s="119">
        <f t="shared" si="20"/>
        <v>0</v>
      </c>
      <c r="R30" s="119">
        <f t="shared" si="21"/>
        <v>0</v>
      </c>
      <c r="S30" s="116"/>
      <c r="T30" s="116"/>
      <c r="U30" s="116"/>
      <c r="V30" s="139" t="s">
        <v>254</v>
      </c>
      <c r="W30" s="107">
        <v>1</v>
      </c>
      <c r="X30" s="108"/>
      <c r="Y30" s="108"/>
      <c r="Z30" s="108"/>
      <c r="AA30" s="103"/>
      <c r="AB30" s="31"/>
      <c r="AC30" s="31"/>
      <c r="AD30" s="31"/>
      <c r="AE30" s="32"/>
      <c r="AF30" s="33"/>
      <c r="AG30" s="31"/>
      <c r="AH30" s="31"/>
      <c r="AI30" s="32"/>
      <c r="AJ30" s="30">
        <v>1</v>
      </c>
      <c r="AK30" s="31"/>
      <c r="AL30" s="31"/>
      <c r="AM30" s="32"/>
      <c r="AN30" s="33"/>
      <c r="AO30" s="31"/>
      <c r="AP30" s="31"/>
      <c r="AQ30" s="32"/>
      <c r="AR30" s="33"/>
      <c r="AS30" s="31"/>
      <c r="AT30" s="31"/>
      <c r="AU30" s="32"/>
      <c r="AV30" s="30">
        <v>1</v>
      </c>
      <c r="AW30" s="31"/>
      <c r="AX30" s="31"/>
      <c r="AY30" s="32"/>
      <c r="AZ30" s="33"/>
      <c r="BA30" s="31"/>
      <c r="BB30" s="31"/>
      <c r="BC30" s="32"/>
      <c r="BD30" s="33"/>
      <c r="BE30" s="31"/>
      <c r="BF30" s="31"/>
      <c r="BG30" s="32"/>
      <c r="BH30" s="30">
        <v>1</v>
      </c>
      <c r="BI30" s="31"/>
      <c r="BJ30" s="31"/>
      <c r="BK30" s="32"/>
      <c r="BL30" s="34"/>
      <c r="BM30" s="31"/>
      <c r="BN30" s="31"/>
      <c r="BO30" s="32"/>
      <c r="BP30" s="34"/>
      <c r="BQ30" s="31"/>
      <c r="BR30" s="31"/>
      <c r="BS30" s="32"/>
    </row>
    <row r="31" spans="1:71" ht="60" x14ac:dyDescent="0.3">
      <c r="A31" s="26" t="s">
        <v>458</v>
      </c>
      <c r="B31" s="51" t="s">
        <v>282</v>
      </c>
      <c r="C31" s="138" t="s">
        <v>71</v>
      </c>
      <c r="D31" s="138" t="s">
        <v>276</v>
      </c>
      <c r="E31" s="113" t="s">
        <v>305</v>
      </c>
      <c r="F31" s="116"/>
      <c r="G31" s="113" t="s">
        <v>299</v>
      </c>
      <c r="H31" s="116">
        <v>2024</v>
      </c>
      <c r="I31" s="140"/>
      <c r="J31" s="116">
        <v>10</v>
      </c>
      <c r="K31" s="141">
        <f t="shared" si="15"/>
        <v>0.1</v>
      </c>
      <c r="L31" s="142">
        <f t="shared" si="16"/>
        <v>0</v>
      </c>
      <c r="M31" s="119">
        <f t="shared" si="17"/>
        <v>0</v>
      </c>
      <c r="N31" s="120">
        <f t="shared" si="18"/>
        <v>0</v>
      </c>
      <c r="O31" s="121"/>
      <c r="P31" s="122">
        <f t="shared" si="19"/>
        <v>0.2</v>
      </c>
      <c r="Q31" s="119">
        <f t="shared" si="20"/>
        <v>0</v>
      </c>
      <c r="R31" s="119">
        <f t="shared" si="21"/>
        <v>0</v>
      </c>
      <c r="S31" s="116"/>
      <c r="T31" s="116"/>
      <c r="U31" s="116"/>
      <c r="V31" s="139" t="s">
        <v>254</v>
      </c>
      <c r="W31" s="107">
        <v>1</v>
      </c>
      <c r="X31" s="108"/>
      <c r="Y31" s="108"/>
      <c r="Z31" s="108"/>
      <c r="AA31" s="103"/>
      <c r="AB31" s="31"/>
      <c r="AC31" s="31"/>
      <c r="AD31" s="31"/>
      <c r="AE31" s="32"/>
      <c r="AF31" s="33"/>
      <c r="AG31" s="31"/>
      <c r="AH31" s="31"/>
      <c r="AI31" s="32"/>
      <c r="AJ31" s="30">
        <v>1</v>
      </c>
      <c r="AK31" s="31"/>
      <c r="AL31" s="31"/>
      <c r="AM31" s="32"/>
      <c r="AN31" s="33"/>
      <c r="AO31" s="31"/>
      <c r="AP31" s="31"/>
      <c r="AQ31" s="32"/>
      <c r="AR31" s="33"/>
      <c r="AS31" s="31"/>
      <c r="AT31" s="31"/>
      <c r="AU31" s="32"/>
      <c r="AV31" s="30">
        <v>1</v>
      </c>
      <c r="AW31" s="31"/>
      <c r="AX31" s="31"/>
      <c r="AY31" s="32"/>
      <c r="AZ31" s="33"/>
      <c r="BA31" s="31"/>
      <c r="BB31" s="31"/>
      <c r="BC31" s="32"/>
      <c r="BD31" s="33"/>
      <c r="BE31" s="31"/>
      <c r="BF31" s="31"/>
      <c r="BG31" s="32"/>
      <c r="BH31" s="30">
        <v>1</v>
      </c>
      <c r="BI31" s="31"/>
      <c r="BJ31" s="31"/>
      <c r="BK31" s="32"/>
      <c r="BL31" s="34"/>
      <c r="BM31" s="31"/>
      <c r="BN31" s="31"/>
      <c r="BO31" s="32"/>
      <c r="BP31" s="34"/>
      <c r="BQ31" s="31"/>
      <c r="BR31" s="31"/>
      <c r="BS31" s="32"/>
    </row>
    <row r="32" spans="1:71" ht="48" x14ac:dyDescent="0.3">
      <c r="A32" s="26" t="s">
        <v>458</v>
      </c>
      <c r="B32" s="51" t="s">
        <v>283</v>
      </c>
      <c r="C32" s="138" t="s">
        <v>71</v>
      </c>
      <c r="D32" s="138" t="s">
        <v>276</v>
      </c>
      <c r="E32" s="113" t="s">
        <v>305</v>
      </c>
      <c r="F32" s="116"/>
      <c r="G32" s="113" t="s">
        <v>299</v>
      </c>
      <c r="H32" s="116">
        <v>2024</v>
      </c>
      <c r="I32" s="140"/>
      <c r="J32" s="116">
        <v>10</v>
      </c>
      <c r="K32" s="141">
        <f t="shared" si="15"/>
        <v>0.1</v>
      </c>
      <c r="L32" s="142">
        <f t="shared" si="16"/>
        <v>0</v>
      </c>
      <c r="M32" s="119">
        <f t="shared" si="17"/>
        <v>0</v>
      </c>
      <c r="N32" s="120">
        <f t="shared" si="18"/>
        <v>0</v>
      </c>
      <c r="O32" s="121"/>
      <c r="P32" s="122">
        <f t="shared" si="19"/>
        <v>0.2</v>
      </c>
      <c r="Q32" s="119">
        <f t="shared" si="20"/>
        <v>0</v>
      </c>
      <c r="R32" s="119">
        <f t="shared" si="21"/>
        <v>0</v>
      </c>
      <c r="S32" s="116"/>
      <c r="T32" s="116"/>
      <c r="U32" s="116"/>
      <c r="V32" s="139" t="s">
        <v>254</v>
      </c>
      <c r="W32" s="107">
        <v>1</v>
      </c>
      <c r="X32" s="108"/>
      <c r="Y32" s="108"/>
      <c r="Z32" s="108"/>
      <c r="AA32" s="103"/>
      <c r="AB32" s="31"/>
      <c r="AC32" s="31"/>
      <c r="AD32" s="31"/>
      <c r="AE32" s="32"/>
      <c r="AF32" s="33"/>
      <c r="AG32" s="31"/>
      <c r="AH32" s="31"/>
      <c r="AI32" s="32"/>
      <c r="AJ32" s="30">
        <v>1</v>
      </c>
      <c r="AK32" s="31"/>
      <c r="AL32" s="31"/>
      <c r="AM32" s="32"/>
      <c r="AN32" s="33"/>
      <c r="AO32" s="31"/>
      <c r="AP32" s="31"/>
      <c r="AQ32" s="32"/>
      <c r="AR32" s="33"/>
      <c r="AS32" s="31"/>
      <c r="AT32" s="31"/>
      <c r="AU32" s="32"/>
      <c r="AV32" s="30">
        <v>1</v>
      </c>
      <c r="AW32" s="31"/>
      <c r="AX32" s="31"/>
      <c r="AY32" s="32"/>
      <c r="AZ32" s="33"/>
      <c r="BA32" s="31"/>
      <c r="BB32" s="31"/>
      <c r="BC32" s="32"/>
      <c r="BD32" s="33"/>
      <c r="BE32" s="31"/>
      <c r="BF32" s="31"/>
      <c r="BG32" s="32"/>
      <c r="BH32" s="30">
        <v>1</v>
      </c>
      <c r="BI32" s="31"/>
      <c r="BJ32" s="31"/>
      <c r="BK32" s="32"/>
      <c r="BL32" s="34"/>
      <c r="BM32" s="31"/>
      <c r="BN32" s="31"/>
      <c r="BO32" s="32"/>
      <c r="BP32" s="34"/>
      <c r="BQ32" s="31"/>
      <c r="BR32" s="31"/>
      <c r="BS32" s="32"/>
    </row>
    <row r="33" spans="1:71" ht="48" x14ac:dyDescent="0.3">
      <c r="A33" s="26" t="s">
        <v>458</v>
      </c>
      <c r="B33" s="51" t="s">
        <v>284</v>
      </c>
      <c r="C33" s="138" t="s">
        <v>71</v>
      </c>
      <c r="D33" s="138" t="s">
        <v>276</v>
      </c>
      <c r="E33" s="113" t="s">
        <v>305</v>
      </c>
      <c r="F33" s="116"/>
      <c r="G33" s="113" t="s">
        <v>299</v>
      </c>
      <c r="H33" s="116">
        <v>2024</v>
      </c>
      <c r="I33" s="140"/>
      <c r="J33" s="116">
        <v>10</v>
      </c>
      <c r="K33" s="141">
        <f t="shared" si="15"/>
        <v>0.1</v>
      </c>
      <c r="L33" s="142">
        <f t="shared" si="16"/>
        <v>0</v>
      </c>
      <c r="M33" s="119">
        <f t="shared" si="17"/>
        <v>0</v>
      </c>
      <c r="N33" s="120">
        <f t="shared" si="18"/>
        <v>0</v>
      </c>
      <c r="O33" s="121"/>
      <c r="P33" s="122">
        <f t="shared" si="19"/>
        <v>0.2</v>
      </c>
      <c r="Q33" s="119">
        <f t="shared" si="20"/>
        <v>0</v>
      </c>
      <c r="R33" s="119">
        <f t="shared" si="21"/>
        <v>0</v>
      </c>
      <c r="S33" s="116"/>
      <c r="T33" s="116"/>
      <c r="U33" s="116"/>
      <c r="V33" s="139" t="s">
        <v>254</v>
      </c>
      <c r="W33" s="107">
        <v>1</v>
      </c>
      <c r="X33" s="108"/>
      <c r="Y33" s="108"/>
      <c r="Z33" s="108"/>
      <c r="AA33" s="103"/>
      <c r="AB33" s="31"/>
      <c r="AC33" s="31"/>
      <c r="AD33" s="31"/>
      <c r="AE33" s="32"/>
      <c r="AF33" s="33"/>
      <c r="AG33" s="31"/>
      <c r="AH33" s="31"/>
      <c r="AI33" s="32"/>
      <c r="AJ33" s="30">
        <v>1</v>
      </c>
      <c r="AK33" s="31"/>
      <c r="AL33" s="31"/>
      <c r="AM33" s="32"/>
      <c r="AN33" s="33"/>
      <c r="AO33" s="31"/>
      <c r="AP33" s="31"/>
      <c r="AQ33" s="32"/>
      <c r="AR33" s="33"/>
      <c r="AS33" s="31"/>
      <c r="AT33" s="31"/>
      <c r="AU33" s="32"/>
      <c r="AV33" s="30">
        <v>1</v>
      </c>
      <c r="AW33" s="31"/>
      <c r="AX33" s="31"/>
      <c r="AY33" s="32"/>
      <c r="AZ33" s="33"/>
      <c r="BA33" s="31"/>
      <c r="BB33" s="31"/>
      <c r="BC33" s="32"/>
      <c r="BD33" s="33"/>
      <c r="BE33" s="31"/>
      <c r="BF33" s="31"/>
      <c r="BG33" s="32"/>
      <c r="BH33" s="30">
        <v>1</v>
      </c>
      <c r="BI33" s="31"/>
      <c r="BJ33" s="31"/>
      <c r="BK33" s="32"/>
      <c r="BL33" s="34"/>
      <c r="BM33" s="31"/>
      <c r="BN33" s="31"/>
      <c r="BO33" s="32"/>
      <c r="BP33" s="34"/>
      <c r="BQ33" s="31"/>
      <c r="BR33" s="31"/>
      <c r="BS33" s="32"/>
    </row>
    <row r="34" spans="1:71" ht="48" x14ac:dyDescent="0.3">
      <c r="A34" s="26" t="s">
        <v>458</v>
      </c>
      <c r="B34" s="51" t="s">
        <v>285</v>
      </c>
      <c r="C34" s="138" t="s">
        <v>102</v>
      </c>
      <c r="D34" s="138" t="s">
        <v>276</v>
      </c>
      <c r="E34" s="113" t="s">
        <v>305</v>
      </c>
      <c r="F34" s="116"/>
      <c r="G34" s="113" t="s">
        <v>299</v>
      </c>
      <c r="H34" s="116">
        <v>2024</v>
      </c>
      <c r="I34" s="140"/>
      <c r="J34" s="116">
        <v>10</v>
      </c>
      <c r="K34" s="141">
        <f t="shared" si="15"/>
        <v>0.1</v>
      </c>
      <c r="L34" s="142">
        <f t="shared" si="16"/>
        <v>0</v>
      </c>
      <c r="M34" s="119">
        <f t="shared" si="17"/>
        <v>0</v>
      </c>
      <c r="N34" s="120">
        <f t="shared" si="18"/>
        <v>0</v>
      </c>
      <c r="O34" s="121"/>
      <c r="P34" s="122">
        <f t="shared" si="19"/>
        <v>0.2</v>
      </c>
      <c r="Q34" s="119">
        <f t="shared" si="20"/>
        <v>0</v>
      </c>
      <c r="R34" s="119">
        <f t="shared" si="21"/>
        <v>0</v>
      </c>
      <c r="S34" s="116"/>
      <c r="T34" s="116"/>
      <c r="U34" s="116"/>
      <c r="V34" s="139" t="s">
        <v>254</v>
      </c>
      <c r="W34" s="107">
        <v>1</v>
      </c>
      <c r="X34" s="108"/>
      <c r="Y34" s="108"/>
      <c r="Z34" s="108"/>
      <c r="AA34" s="103"/>
      <c r="AB34" s="31"/>
      <c r="AC34" s="31"/>
      <c r="AD34" s="31"/>
      <c r="AE34" s="32"/>
      <c r="AF34" s="33"/>
      <c r="AG34" s="31"/>
      <c r="AH34" s="31"/>
      <c r="AI34" s="32"/>
      <c r="AJ34" s="30">
        <v>1</v>
      </c>
      <c r="AK34" s="31"/>
      <c r="AL34" s="31"/>
      <c r="AM34" s="32"/>
      <c r="AN34" s="33"/>
      <c r="AO34" s="31"/>
      <c r="AP34" s="31"/>
      <c r="AQ34" s="32"/>
      <c r="AR34" s="33"/>
      <c r="AS34" s="31"/>
      <c r="AT34" s="31"/>
      <c r="AU34" s="32"/>
      <c r="AV34" s="30">
        <v>1</v>
      </c>
      <c r="AW34" s="31"/>
      <c r="AX34" s="31"/>
      <c r="AY34" s="32"/>
      <c r="AZ34" s="33"/>
      <c r="BA34" s="31"/>
      <c r="BB34" s="31"/>
      <c r="BC34" s="32"/>
      <c r="BD34" s="33"/>
      <c r="BE34" s="31"/>
      <c r="BF34" s="31"/>
      <c r="BG34" s="32"/>
      <c r="BH34" s="30">
        <v>1</v>
      </c>
      <c r="BI34" s="31"/>
      <c r="BJ34" s="31"/>
      <c r="BK34" s="32"/>
      <c r="BL34" s="34"/>
      <c r="BM34" s="31"/>
      <c r="BN34" s="31"/>
      <c r="BO34" s="32"/>
      <c r="BP34" s="34"/>
      <c r="BQ34" s="31"/>
      <c r="BR34" s="31"/>
      <c r="BS34" s="32"/>
    </row>
    <row r="35" spans="1:71" ht="48" x14ac:dyDescent="0.3">
      <c r="A35" s="26" t="s">
        <v>458</v>
      </c>
      <c r="B35" s="51" t="s">
        <v>286</v>
      </c>
      <c r="C35" s="138" t="s">
        <v>73</v>
      </c>
      <c r="D35" s="139" t="s">
        <v>270</v>
      </c>
      <c r="E35" s="113" t="s">
        <v>305</v>
      </c>
      <c r="F35" s="116"/>
      <c r="G35" s="113" t="s">
        <v>300</v>
      </c>
      <c r="H35" s="116">
        <v>2024</v>
      </c>
      <c r="I35" s="140"/>
      <c r="J35" s="116">
        <v>10</v>
      </c>
      <c r="K35" s="141">
        <f t="shared" si="15"/>
        <v>0.1</v>
      </c>
      <c r="L35" s="142">
        <f t="shared" si="16"/>
        <v>0</v>
      </c>
      <c r="M35" s="119">
        <f t="shared" si="17"/>
        <v>0</v>
      </c>
      <c r="N35" s="120">
        <f t="shared" si="18"/>
        <v>0</v>
      </c>
      <c r="O35" s="121"/>
      <c r="P35" s="122">
        <f t="shared" si="19"/>
        <v>0.2</v>
      </c>
      <c r="Q35" s="119">
        <f t="shared" si="20"/>
        <v>0</v>
      </c>
      <c r="R35" s="119">
        <f t="shared" si="21"/>
        <v>0</v>
      </c>
      <c r="S35" s="116"/>
      <c r="T35" s="116"/>
      <c r="U35" s="116"/>
      <c r="V35" s="139" t="s">
        <v>254</v>
      </c>
      <c r="W35" s="107">
        <v>1</v>
      </c>
      <c r="X35" s="108"/>
      <c r="Y35" s="108"/>
      <c r="Z35" s="108"/>
      <c r="AA35" s="103"/>
      <c r="AB35" s="31"/>
      <c r="AC35" s="31"/>
      <c r="AD35" s="31"/>
      <c r="AE35" s="32"/>
      <c r="AF35" s="33"/>
      <c r="AG35" s="31"/>
      <c r="AH35" s="31"/>
      <c r="AI35" s="32"/>
      <c r="AJ35" s="30">
        <v>1</v>
      </c>
      <c r="AK35" s="31"/>
      <c r="AL35" s="31"/>
      <c r="AM35" s="32"/>
      <c r="AN35" s="33"/>
      <c r="AO35" s="31"/>
      <c r="AP35" s="31"/>
      <c r="AQ35" s="32"/>
      <c r="AR35" s="33"/>
      <c r="AS35" s="31"/>
      <c r="AT35" s="31"/>
      <c r="AU35" s="32"/>
      <c r="AV35" s="30">
        <v>1</v>
      </c>
      <c r="AW35" s="31"/>
      <c r="AX35" s="31"/>
      <c r="AY35" s="32"/>
      <c r="AZ35" s="33"/>
      <c r="BA35" s="31"/>
      <c r="BB35" s="31"/>
      <c r="BC35" s="32"/>
      <c r="BD35" s="33"/>
      <c r="BE35" s="31"/>
      <c r="BF35" s="31"/>
      <c r="BG35" s="32"/>
      <c r="BH35" s="30">
        <v>1</v>
      </c>
      <c r="BI35" s="31"/>
      <c r="BJ35" s="31"/>
      <c r="BK35" s="32"/>
      <c r="BL35" s="34"/>
      <c r="BM35" s="31"/>
      <c r="BN35" s="31"/>
      <c r="BO35" s="32"/>
      <c r="BP35" s="34"/>
      <c r="BQ35" s="31"/>
      <c r="BR35" s="31"/>
      <c r="BS35" s="32"/>
    </row>
    <row r="36" spans="1:71" ht="48" x14ac:dyDescent="0.3">
      <c r="A36" s="26" t="s">
        <v>458</v>
      </c>
      <c r="B36" s="51" t="s">
        <v>287</v>
      </c>
      <c r="C36" s="138" t="s">
        <v>71</v>
      </c>
      <c r="D36" s="139" t="s">
        <v>457</v>
      </c>
      <c r="E36" s="113" t="s">
        <v>305</v>
      </c>
      <c r="F36" s="116"/>
      <c r="G36" s="113" t="s">
        <v>301</v>
      </c>
      <c r="H36" s="116">
        <v>2024</v>
      </c>
      <c r="I36" s="140"/>
      <c r="J36" s="116">
        <v>10</v>
      </c>
      <c r="K36" s="141">
        <f t="shared" si="15"/>
        <v>0.1</v>
      </c>
      <c r="L36" s="142">
        <f t="shared" si="16"/>
        <v>0</v>
      </c>
      <c r="M36" s="119">
        <f t="shared" si="17"/>
        <v>0</v>
      </c>
      <c r="N36" s="120">
        <f t="shared" si="18"/>
        <v>0</v>
      </c>
      <c r="O36" s="121"/>
      <c r="P36" s="122">
        <f t="shared" si="19"/>
        <v>0.2</v>
      </c>
      <c r="Q36" s="119">
        <f t="shared" si="20"/>
        <v>0</v>
      </c>
      <c r="R36" s="119">
        <f t="shared" si="21"/>
        <v>0</v>
      </c>
      <c r="S36" s="116"/>
      <c r="T36" s="116"/>
      <c r="U36" s="116"/>
      <c r="V36" s="139" t="s">
        <v>254</v>
      </c>
      <c r="W36" s="107">
        <v>1</v>
      </c>
      <c r="X36" s="108"/>
      <c r="Y36" s="108"/>
      <c r="Z36" s="108"/>
      <c r="AA36" s="103"/>
      <c r="AB36" s="31"/>
      <c r="AC36" s="31"/>
      <c r="AD36" s="31"/>
      <c r="AE36" s="32"/>
      <c r="AF36" s="33"/>
      <c r="AG36" s="31"/>
      <c r="AH36" s="31"/>
      <c r="AI36" s="32"/>
      <c r="AJ36" s="30">
        <v>1</v>
      </c>
      <c r="AK36" s="31"/>
      <c r="AL36" s="31"/>
      <c r="AM36" s="32"/>
      <c r="AN36" s="33"/>
      <c r="AO36" s="31"/>
      <c r="AP36" s="31"/>
      <c r="AQ36" s="32"/>
      <c r="AR36" s="33"/>
      <c r="AS36" s="31"/>
      <c r="AT36" s="31"/>
      <c r="AU36" s="32"/>
      <c r="AV36" s="30">
        <v>1</v>
      </c>
      <c r="AW36" s="31"/>
      <c r="AX36" s="31"/>
      <c r="AY36" s="32"/>
      <c r="AZ36" s="33"/>
      <c r="BA36" s="31"/>
      <c r="BB36" s="31"/>
      <c r="BC36" s="32"/>
      <c r="BD36" s="33"/>
      <c r="BE36" s="31"/>
      <c r="BF36" s="31"/>
      <c r="BG36" s="32"/>
      <c r="BH36" s="30">
        <v>1</v>
      </c>
      <c r="BI36" s="31"/>
      <c r="BJ36" s="31"/>
      <c r="BK36" s="32"/>
      <c r="BL36" s="34"/>
      <c r="BM36" s="31"/>
      <c r="BN36" s="31"/>
      <c r="BO36" s="32"/>
      <c r="BP36" s="34"/>
      <c r="BQ36" s="31"/>
      <c r="BR36" s="31"/>
      <c r="BS36" s="32"/>
    </row>
    <row r="37" spans="1:71" ht="48" x14ac:dyDescent="0.3">
      <c r="A37" s="26" t="s">
        <v>458</v>
      </c>
      <c r="B37" s="51" t="s">
        <v>288</v>
      </c>
      <c r="C37" s="138" t="s">
        <v>79</v>
      </c>
      <c r="D37" s="143" t="s">
        <v>457</v>
      </c>
      <c r="E37" s="113" t="s">
        <v>305</v>
      </c>
      <c r="F37" s="116"/>
      <c r="G37" s="116"/>
      <c r="H37" s="116">
        <v>2025</v>
      </c>
      <c r="I37" s="140"/>
      <c r="J37" s="116">
        <v>10</v>
      </c>
      <c r="K37" s="141">
        <f t="shared" si="15"/>
        <v>0.1</v>
      </c>
      <c r="L37" s="142">
        <f t="shared" si="16"/>
        <v>0</v>
      </c>
      <c r="M37" s="119">
        <f t="shared" si="17"/>
        <v>0</v>
      </c>
      <c r="N37" s="120">
        <f t="shared" si="18"/>
        <v>0</v>
      </c>
      <c r="O37" s="121"/>
      <c r="P37" s="122">
        <f t="shared" si="19"/>
        <v>0.2</v>
      </c>
      <c r="Q37" s="119">
        <f t="shared" si="20"/>
        <v>0</v>
      </c>
      <c r="R37" s="119">
        <f t="shared" si="21"/>
        <v>0</v>
      </c>
      <c r="S37" s="116"/>
      <c r="T37" s="116"/>
      <c r="U37" s="116"/>
      <c r="V37" s="139" t="s">
        <v>254</v>
      </c>
      <c r="W37" s="107">
        <v>1</v>
      </c>
      <c r="X37" s="108"/>
      <c r="Y37" s="108"/>
      <c r="Z37" s="108"/>
      <c r="AA37" s="103"/>
      <c r="AB37" s="31"/>
      <c r="AC37" s="31"/>
      <c r="AD37" s="31"/>
      <c r="AE37" s="32"/>
      <c r="AF37" s="33"/>
      <c r="AG37" s="31"/>
      <c r="AH37" s="31"/>
      <c r="AI37" s="32"/>
      <c r="AJ37" s="30">
        <v>1</v>
      </c>
      <c r="AK37" s="31"/>
      <c r="AL37" s="31"/>
      <c r="AM37" s="32"/>
      <c r="AN37" s="33"/>
      <c r="AO37" s="31"/>
      <c r="AP37" s="31"/>
      <c r="AQ37" s="32"/>
      <c r="AR37" s="33"/>
      <c r="AS37" s="31"/>
      <c r="AT37" s="31"/>
      <c r="AU37" s="32"/>
      <c r="AV37" s="30">
        <v>1</v>
      </c>
      <c r="AW37" s="31"/>
      <c r="AX37" s="31"/>
      <c r="AY37" s="32"/>
      <c r="AZ37" s="33"/>
      <c r="BA37" s="31"/>
      <c r="BB37" s="31"/>
      <c r="BC37" s="32"/>
      <c r="BD37" s="33"/>
      <c r="BE37" s="31"/>
      <c r="BF37" s="31"/>
      <c r="BG37" s="32"/>
      <c r="BH37" s="30">
        <v>1</v>
      </c>
      <c r="BI37" s="31"/>
      <c r="BJ37" s="31"/>
      <c r="BK37" s="32"/>
      <c r="BL37" s="34"/>
      <c r="BM37" s="31"/>
      <c r="BN37" s="31"/>
      <c r="BO37" s="32"/>
      <c r="BP37" s="34"/>
      <c r="BQ37" s="31"/>
      <c r="BR37" s="31"/>
      <c r="BS37" s="32"/>
    </row>
    <row r="38" spans="1:71" ht="48" x14ac:dyDescent="0.3">
      <c r="A38" s="26" t="s">
        <v>458</v>
      </c>
      <c r="B38" s="51" t="s">
        <v>320</v>
      </c>
      <c r="C38" s="138"/>
      <c r="D38" s="143" t="s">
        <v>457</v>
      </c>
      <c r="E38" s="113" t="s">
        <v>305</v>
      </c>
      <c r="F38" s="116"/>
      <c r="G38" s="116"/>
      <c r="H38" s="116">
        <v>2025</v>
      </c>
      <c r="I38" s="140"/>
      <c r="J38" s="116">
        <v>10</v>
      </c>
      <c r="K38" s="141">
        <f t="shared" ref="K38:K46" si="22">100%/J38</f>
        <v>0.1</v>
      </c>
      <c r="L38" s="142">
        <f t="shared" ref="L38:L46" si="23">K38*I38</f>
        <v>0</v>
      </c>
      <c r="M38" s="119">
        <f t="shared" ref="M38:M46" si="24">M37+L38</f>
        <v>0</v>
      </c>
      <c r="N38" s="120">
        <f t="shared" ref="N38:N46" si="25">I38-M38</f>
        <v>0</v>
      </c>
      <c r="O38" s="121"/>
      <c r="P38" s="122">
        <f t="shared" ref="P38:P46" si="26">K38*2</f>
        <v>0.2</v>
      </c>
      <c r="Q38" s="119">
        <f t="shared" ref="Q38:Q46" si="27">S37</f>
        <v>0</v>
      </c>
      <c r="R38" s="119">
        <f t="shared" ref="R38:R46" si="28">R37+Q38</f>
        <v>0</v>
      </c>
      <c r="S38" s="116"/>
      <c r="T38" s="116"/>
      <c r="U38" s="116"/>
      <c r="V38" s="139" t="s">
        <v>254</v>
      </c>
      <c r="W38" s="107">
        <v>1</v>
      </c>
      <c r="X38" s="108"/>
      <c r="Y38" s="108"/>
      <c r="Z38" s="108"/>
      <c r="AA38" s="103"/>
      <c r="AB38" s="31"/>
      <c r="AC38" s="31"/>
      <c r="AD38" s="31"/>
      <c r="AE38" s="32"/>
      <c r="AF38" s="33"/>
      <c r="AG38" s="31"/>
      <c r="AH38" s="31"/>
      <c r="AI38" s="32"/>
      <c r="AJ38" s="30">
        <v>1</v>
      </c>
      <c r="AK38" s="31"/>
      <c r="AL38" s="31"/>
      <c r="AM38" s="32"/>
      <c r="AN38" s="33"/>
      <c r="AO38" s="31"/>
      <c r="AP38" s="31"/>
      <c r="AQ38" s="32"/>
      <c r="AR38" s="33"/>
      <c r="AS38" s="31"/>
      <c r="AT38" s="31"/>
      <c r="AU38" s="32"/>
      <c r="AV38" s="30">
        <v>1</v>
      </c>
      <c r="AW38" s="31"/>
      <c r="AX38" s="31"/>
      <c r="AY38" s="32"/>
      <c r="AZ38" s="33"/>
      <c r="BA38" s="31"/>
      <c r="BB38" s="31"/>
      <c r="BC38" s="32"/>
      <c r="BD38" s="33"/>
      <c r="BE38" s="31"/>
      <c r="BF38" s="31"/>
      <c r="BG38" s="32"/>
      <c r="BH38" s="30">
        <v>1</v>
      </c>
      <c r="BI38" s="31"/>
      <c r="BJ38" s="31"/>
      <c r="BK38" s="32"/>
      <c r="BL38" s="34"/>
      <c r="BM38" s="31"/>
      <c r="BN38" s="31"/>
      <c r="BO38" s="32"/>
      <c r="BP38" s="34"/>
      <c r="BQ38" s="31"/>
      <c r="BR38" s="31"/>
      <c r="BS38" s="32"/>
    </row>
    <row r="39" spans="1:71" ht="48" x14ac:dyDescent="0.3">
      <c r="A39" s="26" t="s">
        <v>458</v>
      </c>
      <c r="B39" s="51" t="s">
        <v>327</v>
      </c>
      <c r="C39" s="138"/>
      <c r="D39" s="143" t="s">
        <v>457</v>
      </c>
      <c r="E39" s="113" t="s">
        <v>305</v>
      </c>
      <c r="F39" s="116"/>
      <c r="G39" s="116"/>
      <c r="H39" s="116">
        <v>2025</v>
      </c>
      <c r="I39" s="140"/>
      <c r="J39" s="116">
        <v>10</v>
      </c>
      <c r="K39" s="141">
        <f t="shared" si="22"/>
        <v>0.1</v>
      </c>
      <c r="L39" s="142">
        <f t="shared" si="23"/>
        <v>0</v>
      </c>
      <c r="M39" s="119">
        <f t="shared" si="24"/>
        <v>0</v>
      </c>
      <c r="N39" s="120">
        <f t="shared" si="25"/>
        <v>0</v>
      </c>
      <c r="O39" s="121"/>
      <c r="P39" s="122">
        <f t="shared" si="26"/>
        <v>0.2</v>
      </c>
      <c r="Q39" s="119">
        <f t="shared" si="27"/>
        <v>0</v>
      </c>
      <c r="R39" s="119">
        <f t="shared" si="28"/>
        <v>0</v>
      </c>
      <c r="S39" s="116"/>
      <c r="T39" s="116"/>
      <c r="U39" s="116"/>
      <c r="V39" s="139" t="s">
        <v>254</v>
      </c>
      <c r="W39" s="107">
        <v>1</v>
      </c>
      <c r="X39" s="108"/>
      <c r="Y39" s="108"/>
      <c r="Z39" s="108"/>
      <c r="AA39" s="103"/>
      <c r="AB39" s="31"/>
      <c r="AC39" s="31"/>
      <c r="AD39" s="31"/>
      <c r="AE39" s="32"/>
      <c r="AF39" s="33"/>
      <c r="AG39" s="31"/>
      <c r="AH39" s="31"/>
      <c r="AI39" s="32"/>
      <c r="AJ39" s="30">
        <v>1</v>
      </c>
      <c r="AK39" s="31"/>
      <c r="AL39" s="31"/>
      <c r="AM39" s="32"/>
      <c r="AN39" s="33"/>
      <c r="AO39" s="31"/>
      <c r="AP39" s="31"/>
      <c r="AQ39" s="32"/>
      <c r="AR39" s="33"/>
      <c r="AS39" s="31"/>
      <c r="AT39" s="31"/>
      <c r="AU39" s="32"/>
      <c r="AV39" s="30">
        <v>1</v>
      </c>
      <c r="AW39" s="31"/>
      <c r="AX39" s="31"/>
      <c r="AY39" s="32"/>
      <c r="AZ39" s="33"/>
      <c r="BA39" s="31"/>
      <c r="BB39" s="31"/>
      <c r="BC39" s="32"/>
      <c r="BD39" s="33"/>
      <c r="BE39" s="31"/>
      <c r="BF39" s="31"/>
      <c r="BG39" s="32"/>
      <c r="BH39" s="30">
        <v>1</v>
      </c>
      <c r="BI39" s="31"/>
      <c r="BJ39" s="31"/>
      <c r="BK39" s="32"/>
      <c r="BL39" s="34"/>
      <c r="BM39" s="31"/>
      <c r="BN39" s="31"/>
      <c r="BO39" s="32"/>
      <c r="BP39" s="34"/>
      <c r="BQ39" s="31"/>
      <c r="BR39" s="31"/>
      <c r="BS39" s="32"/>
    </row>
    <row r="40" spans="1:71" ht="48" x14ac:dyDescent="0.3">
      <c r="A40" s="26" t="s">
        <v>458</v>
      </c>
      <c r="B40" s="51" t="s">
        <v>335</v>
      </c>
      <c r="C40" s="138"/>
      <c r="D40" s="143" t="s">
        <v>457</v>
      </c>
      <c r="E40" s="113" t="s">
        <v>305</v>
      </c>
      <c r="F40" s="116"/>
      <c r="G40" s="116"/>
      <c r="H40" s="116">
        <v>2025</v>
      </c>
      <c r="I40" s="140"/>
      <c r="J40" s="116">
        <v>10</v>
      </c>
      <c r="K40" s="141">
        <f t="shared" si="22"/>
        <v>0.1</v>
      </c>
      <c r="L40" s="142">
        <f t="shared" si="23"/>
        <v>0</v>
      </c>
      <c r="M40" s="119">
        <f t="shared" si="24"/>
        <v>0</v>
      </c>
      <c r="N40" s="120">
        <f t="shared" si="25"/>
        <v>0</v>
      </c>
      <c r="O40" s="121"/>
      <c r="P40" s="122">
        <f t="shared" si="26"/>
        <v>0.2</v>
      </c>
      <c r="Q40" s="119">
        <f t="shared" si="27"/>
        <v>0</v>
      </c>
      <c r="R40" s="119">
        <f t="shared" si="28"/>
        <v>0</v>
      </c>
      <c r="S40" s="116"/>
      <c r="T40" s="116"/>
      <c r="U40" s="116"/>
      <c r="V40" s="139" t="s">
        <v>254</v>
      </c>
      <c r="W40" s="107">
        <v>1</v>
      </c>
      <c r="X40" s="108"/>
      <c r="Y40" s="108"/>
      <c r="Z40" s="108"/>
      <c r="AA40" s="103"/>
      <c r="AB40" s="31"/>
      <c r="AC40" s="31"/>
      <c r="AD40" s="31"/>
      <c r="AE40" s="32"/>
      <c r="AF40" s="33"/>
      <c r="AG40" s="31"/>
      <c r="AH40" s="31"/>
      <c r="AI40" s="32"/>
      <c r="AJ40" s="30">
        <v>1</v>
      </c>
      <c r="AK40" s="31"/>
      <c r="AL40" s="31"/>
      <c r="AM40" s="32"/>
      <c r="AN40" s="33"/>
      <c r="AO40" s="31"/>
      <c r="AP40" s="31"/>
      <c r="AQ40" s="32"/>
      <c r="AR40" s="33"/>
      <c r="AS40" s="31"/>
      <c r="AT40" s="31"/>
      <c r="AU40" s="32"/>
      <c r="AV40" s="30">
        <v>1</v>
      </c>
      <c r="AW40" s="31"/>
      <c r="AX40" s="31"/>
      <c r="AY40" s="32"/>
      <c r="AZ40" s="33"/>
      <c r="BA40" s="31"/>
      <c r="BB40" s="31"/>
      <c r="BC40" s="32"/>
      <c r="BD40" s="33"/>
      <c r="BE40" s="31"/>
      <c r="BF40" s="31"/>
      <c r="BG40" s="32"/>
      <c r="BH40" s="30">
        <v>1</v>
      </c>
      <c r="BI40" s="31"/>
      <c r="BJ40" s="31"/>
      <c r="BK40" s="32"/>
      <c r="BL40" s="34"/>
      <c r="BM40" s="31"/>
      <c r="BN40" s="31"/>
      <c r="BO40" s="32"/>
      <c r="BP40" s="34"/>
      <c r="BQ40" s="31"/>
      <c r="BR40" s="31"/>
      <c r="BS40" s="32"/>
    </row>
    <row r="41" spans="1:71" ht="60" x14ac:dyDescent="0.3">
      <c r="A41" s="26" t="s">
        <v>458</v>
      </c>
      <c r="B41" s="51" t="s">
        <v>341</v>
      </c>
      <c r="C41" s="138"/>
      <c r="D41" s="143" t="s">
        <v>457</v>
      </c>
      <c r="E41" s="113" t="s">
        <v>305</v>
      </c>
      <c r="F41" s="116"/>
      <c r="G41" s="116"/>
      <c r="H41" s="116">
        <v>2025</v>
      </c>
      <c r="I41" s="140"/>
      <c r="J41" s="116">
        <v>10</v>
      </c>
      <c r="K41" s="141">
        <f t="shared" si="22"/>
        <v>0.1</v>
      </c>
      <c r="L41" s="142">
        <f t="shared" si="23"/>
        <v>0</v>
      </c>
      <c r="M41" s="119">
        <f t="shared" si="24"/>
        <v>0</v>
      </c>
      <c r="N41" s="120">
        <f t="shared" si="25"/>
        <v>0</v>
      </c>
      <c r="O41" s="121"/>
      <c r="P41" s="122">
        <f t="shared" si="26"/>
        <v>0.2</v>
      </c>
      <c r="Q41" s="119">
        <f t="shared" si="27"/>
        <v>0</v>
      </c>
      <c r="R41" s="119">
        <f t="shared" si="28"/>
        <v>0</v>
      </c>
      <c r="S41" s="116"/>
      <c r="T41" s="116"/>
      <c r="U41" s="116"/>
      <c r="V41" s="139" t="s">
        <v>254</v>
      </c>
      <c r="W41" s="107">
        <v>1</v>
      </c>
      <c r="X41" s="108"/>
      <c r="Y41" s="108"/>
      <c r="Z41" s="108"/>
      <c r="AA41" s="103"/>
      <c r="AB41" s="31"/>
      <c r="AC41" s="31"/>
      <c r="AD41" s="31"/>
      <c r="AE41" s="32"/>
      <c r="AF41" s="33"/>
      <c r="AG41" s="31"/>
      <c r="AH41" s="31"/>
      <c r="AI41" s="32"/>
      <c r="AJ41" s="30">
        <v>1</v>
      </c>
      <c r="AK41" s="31"/>
      <c r="AL41" s="31"/>
      <c r="AM41" s="32"/>
      <c r="AN41" s="33"/>
      <c r="AO41" s="31"/>
      <c r="AP41" s="31"/>
      <c r="AQ41" s="32"/>
      <c r="AR41" s="33"/>
      <c r="AS41" s="31"/>
      <c r="AT41" s="31"/>
      <c r="AU41" s="32"/>
      <c r="AV41" s="30">
        <v>1</v>
      </c>
      <c r="AW41" s="31"/>
      <c r="AX41" s="31"/>
      <c r="AY41" s="32"/>
      <c r="AZ41" s="33"/>
      <c r="BA41" s="31"/>
      <c r="BB41" s="31"/>
      <c r="BC41" s="32"/>
      <c r="BD41" s="33"/>
      <c r="BE41" s="31"/>
      <c r="BF41" s="31"/>
      <c r="BG41" s="32"/>
      <c r="BH41" s="30">
        <v>1</v>
      </c>
      <c r="BI41" s="31"/>
      <c r="BJ41" s="31"/>
      <c r="BK41" s="32"/>
      <c r="BL41" s="34"/>
      <c r="BM41" s="31"/>
      <c r="BN41" s="31"/>
      <c r="BO41" s="32"/>
      <c r="BP41" s="34"/>
      <c r="BQ41" s="31"/>
      <c r="BR41" s="31"/>
      <c r="BS41" s="32"/>
    </row>
    <row r="42" spans="1:71" ht="48" x14ac:dyDescent="0.3">
      <c r="A42" s="26" t="s">
        <v>458</v>
      </c>
      <c r="B42" s="51" t="s">
        <v>362</v>
      </c>
      <c r="C42" s="138"/>
      <c r="D42" s="143" t="s">
        <v>457</v>
      </c>
      <c r="E42" s="113" t="s">
        <v>305</v>
      </c>
      <c r="F42" s="116"/>
      <c r="G42" s="116"/>
      <c r="H42" s="116">
        <v>2025</v>
      </c>
      <c r="I42" s="140"/>
      <c r="J42" s="116">
        <v>10</v>
      </c>
      <c r="K42" s="141">
        <f t="shared" si="22"/>
        <v>0.1</v>
      </c>
      <c r="L42" s="142">
        <f t="shared" si="23"/>
        <v>0</v>
      </c>
      <c r="M42" s="119" t="e">
        <f>#REF!+L42</f>
        <v>#REF!</v>
      </c>
      <c r="N42" s="120" t="e">
        <f t="shared" si="25"/>
        <v>#REF!</v>
      </c>
      <c r="O42" s="121"/>
      <c r="P42" s="122">
        <f t="shared" si="26"/>
        <v>0.2</v>
      </c>
      <c r="Q42" s="119" t="e">
        <f>#REF!</f>
        <v>#REF!</v>
      </c>
      <c r="R42" s="119" t="e">
        <f>#REF!+Q42</f>
        <v>#REF!</v>
      </c>
      <c r="S42" s="116"/>
      <c r="T42" s="116"/>
      <c r="U42" s="116"/>
      <c r="V42" s="139" t="s">
        <v>254</v>
      </c>
      <c r="W42" s="107">
        <v>1</v>
      </c>
      <c r="X42" s="108"/>
      <c r="Y42" s="108"/>
      <c r="Z42" s="108"/>
      <c r="AA42" s="103"/>
      <c r="AB42" s="31"/>
      <c r="AC42" s="31"/>
      <c r="AD42" s="31"/>
      <c r="AE42" s="32"/>
      <c r="AF42" s="33"/>
      <c r="AG42" s="31"/>
      <c r="AH42" s="31"/>
      <c r="AI42" s="32"/>
      <c r="AJ42" s="30">
        <v>1</v>
      </c>
      <c r="AK42" s="31"/>
      <c r="AL42" s="31"/>
      <c r="AM42" s="32"/>
      <c r="AN42" s="33"/>
      <c r="AO42" s="31"/>
      <c r="AP42" s="31"/>
      <c r="AQ42" s="32"/>
      <c r="AR42" s="33"/>
      <c r="AS42" s="31"/>
      <c r="AT42" s="31"/>
      <c r="AU42" s="32"/>
      <c r="AV42" s="30">
        <v>1</v>
      </c>
      <c r="AW42" s="31"/>
      <c r="AX42" s="31"/>
      <c r="AY42" s="32"/>
      <c r="AZ42" s="33"/>
      <c r="BA42" s="31"/>
      <c r="BB42" s="31"/>
      <c r="BC42" s="32"/>
      <c r="BD42" s="33"/>
      <c r="BE42" s="31"/>
      <c r="BF42" s="31"/>
      <c r="BG42" s="32"/>
      <c r="BH42" s="30">
        <v>1</v>
      </c>
      <c r="BI42" s="31"/>
      <c r="BJ42" s="31"/>
      <c r="BK42" s="32"/>
      <c r="BL42" s="34"/>
      <c r="BM42" s="31"/>
      <c r="BN42" s="31"/>
      <c r="BO42" s="32"/>
      <c r="BP42" s="34"/>
      <c r="BQ42" s="31"/>
      <c r="BR42" s="31"/>
      <c r="BS42" s="32"/>
    </row>
    <row r="43" spans="1:71" ht="48" x14ac:dyDescent="0.3">
      <c r="A43" s="26" t="s">
        <v>458</v>
      </c>
      <c r="B43" s="51" t="s">
        <v>371</v>
      </c>
      <c r="C43" s="138"/>
      <c r="D43" s="143" t="s">
        <v>457</v>
      </c>
      <c r="E43" s="113" t="s">
        <v>305</v>
      </c>
      <c r="F43" s="116"/>
      <c r="G43" s="116"/>
      <c r="H43" s="116">
        <v>2025</v>
      </c>
      <c r="I43" s="140"/>
      <c r="J43" s="116">
        <v>10</v>
      </c>
      <c r="K43" s="141">
        <f t="shared" si="22"/>
        <v>0.1</v>
      </c>
      <c r="L43" s="142">
        <f t="shared" si="23"/>
        <v>0</v>
      </c>
      <c r="M43" s="119" t="e">
        <f t="shared" si="24"/>
        <v>#REF!</v>
      </c>
      <c r="N43" s="120" t="e">
        <f t="shared" si="25"/>
        <v>#REF!</v>
      </c>
      <c r="O43" s="121"/>
      <c r="P43" s="122">
        <f t="shared" si="26"/>
        <v>0.2</v>
      </c>
      <c r="Q43" s="119">
        <f t="shared" si="27"/>
        <v>0</v>
      </c>
      <c r="R43" s="119" t="e">
        <f t="shared" si="28"/>
        <v>#REF!</v>
      </c>
      <c r="S43" s="116"/>
      <c r="T43" s="116"/>
      <c r="U43" s="116"/>
      <c r="V43" s="139" t="s">
        <v>254</v>
      </c>
      <c r="W43" s="107">
        <v>1</v>
      </c>
      <c r="X43" s="108"/>
      <c r="Y43" s="108"/>
      <c r="Z43" s="108"/>
      <c r="AA43" s="103"/>
      <c r="AB43" s="31"/>
      <c r="AC43" s="31"/>
      <c r="AD43" s="31"/>
      <c r="AE43" s="32"/>
      <c r="AF43" s="33"/>
      <c r="AG43" s="31"/>
      <c r="AH43" s="31"/>
      <c r="AI43" s="32"/>
      <c r="AJ43" s="30">
        <v>1</v>
      </c>
      <c r="AK43" s="31"/>
      <c r="AL43" s="31"/>
      <c r="AM43" s="32"/>
      <c r="AN43" s="33"/>
      <c r="AO43" s="31"/>
      <c r="AP43" s="31"/>
      <c r="AQ43" s="32"/>
      <c r="AR43" s="33"/>
      <c r="AS43" s="31"/>
      <c r="AT43" s="31"/>
      <c r="AU43" s="32"/>
      <c r="AV43" s="30">
        <v>1</v>
      </c>
      <c r="AW43" s="31"/>
      <c r="AX43" s="31"/>
      <c r="AY43" s="32"/>
      <c r="AZ43" s="33"/>
      <c r="BA43" s="31"/>
      <c r="BB43" s="31"/>
      <c r="BC43" s="32"/>
      <c r="BD43" s="33"/>
      <c r="BE43" s="31"/>
      <c r="BF43" s="31"/>
      <c r="BG43" s="32"/>
      <c r="BH43" s="30">
        <v>1</v>
      </c>
      <c r="BI43" s="31"/>
      <c r="BJ43" s="31"/>
      <c r="BK43" s="32"/>
      <c r="BL43" s="34"/>
      <c r="BM43" s="31"/>
      <c r="BN43" s="31"/>
      <c r="BO43" s="32"/>
      <c r="BP43" s="34"/>
      <c r="BQ43" s="31"/>
      <c r="BR43" s="31"/>
      <c r="BS43" s="32"/>
    </row>
    <row r="44" spans="1:71" ht="48" x14ac:dyDescent="0.3">
      <c r="A44" s="26" t="s">
        <v>458</v>
      </c>
      <c r="B44" s="51" t="s">
        <v>381</v>
      </c>
      <c r="C44" s="138"/>
      <c r="D44" s="143" t="s">
        <v>457</v>
      </c>
      <c r="E44" s="113" t="s">
        <v>305</v>
      </c>
      <c r="F44" s="116"/>
      <c r="G44" s="116"/>
      <c r="H44" s="116">
        <v>2025</v>
      </c>
      <c r="I44" s="140"/>
      <c r="J44" s="116">
        <v>10</v>
      </c>
      <c r="K44" s="141">
        <f t="shared" si="22"/>
        <v>0.1</v>
      </c>
      <c r="L44" s="142">
        <f t="shared" si="23"/>
        <v>0</v>
      </c>
      <c r="M44" s="119" t="e">
        <f t="shared" si="24"/>
        <v>#REF!</v>
      </c>
      <c r="N44" s="120" t="e">
        <f t="shared" si="25"/>
        <v>#REF!</v>
      </c>
      <c r="O44" s="121"/>
      <c r="P44" s="122">
        <f t="shared" si="26"/>
        <v>0.2</v>
      </c>
      <c r="Q44" s="119">
        <f t="shared" si="27"/>
        <v>0</v>
      </c>
      <c r="R44" s="119" t="e">
        <f t="shared" si="28"/>
        <v>#REF!</v>
      </c>
      <c r="S44" s="116"/>
      <c r="T44" s="116"/>
      <c r="U44" s="116"/>
      <c r="V44" s="139" t="s">
        <v>254</v>
      </c>
      <c r="W44" s="107">
        <v>1</v>
      </c>
      <c r="X44" s="108"/>
      <c r="Y44" s="108"/>
      <c r="Z44" s="108"/>
      <c r="AA44" s="103"/>
      <c r="AB44" s="31"/>
      <c r="AC44" s="31"/>
      <c r="AD44" s="31"/>
      <c r="AE44" s="32"/>
      <c r="AF44" s="33"/>
      <c r="AG44" s="31"/>
      <c r="AH44" s="31"/>
      <c r="AI44" s="32"/>
      <c r="AJ44" s="30">
        <v>1</v>
      </c>
      <c r="AK44" s="31"/>
      <c r="AL44" s="31"/>
      <c r="AM44" s="32"/>
      <c r="AN44" s="33"/>
      <c r="AO44" s="31"/>
      <c r="AP44" s="31"/>
      <c r="AQ44" s="32"/>
      <c r="AR44" s="33"/>
      <c r="AS44" s="31"/>
      <c r="AT44" s="31"/>
      <c r="AU44" s="32"/>
      <c r="AV44" s="30">
        <v>1</v>
      </c>
      <c r="AW44" s="31"/>
      <c r="AX44" s="31"/>
      <c r="AY44" s="32"/>
      <c r="AZ44" s="33"/>
      <c r="BA44" s="31"/>
      <c r="BB44" s="31"/>
      <c r="BC44" s="32"/>
      <c r="BD44" s="33"/>
      <c r="BE44" s="31"/>
      <c r="BF44" s="31"/>
      <c r="BG44" s="32"/>
      <c r="BH44" s="30">
        <v>1</v>
      </c>
      <c r="BI44" s="31"/>
      <c r="BJ44" s="31"/>
      <c r="BK44" s="32"/>
      <c r="BL44" s="34"/>
      <c r="BM44" s="31"/>
      <c r="BN44" s="31"/>
      <c r="BO44" s="32"/>
      <c r="BP44" s="34"/>
      <c r="BQ44" s="31"/>
      <c r="BR44" s="31"/>
      <c r="BS44" s="32"/>
    </row>
    <row r="45" spans="1:71" ht="48" x14ac:dyDescent="0.3">
      <c r="A45" s="26" t="s">
        <v>458</v>
      </c>
      <c r="B45" s="51" t="s">
        <v>389</v>
      </c>
      <c r="C45" s="138"/>
      <c r="D45" s="143" t="s">
        <v>457</v>
      </c>
      <c r="E45" s="113" t="s">
        <v>305</v>
      </c>
      <c r="F45" s="116"/>
      <c r="G45" s="116"/>
      <c r="H45" s="116">
        <v>2025</v>
      </c>
      <c r="I45" s="140"/>
      <c r="J45" s="116">
        <v>10</v>
      </c>
      <c r="K45" s="141">
        <f t="shared" si="22"/>
        <v>0.1</v>
      </c>
      <c r="L45" s="142">
        <f t="shared" si="23"/>
        <v>0</v>
      </c>
      <c r="M45" s="119" t="e">
        <f t="shared" si="24"/>
        <v>#REF!</v>
      </c>
      <c r="N45" s="120" t="e">
        <f t="shared" si="25"/>
        <v>#REF!</v>
      </c>
      <c r="O45" s="121"/>
      <c r="P45" s="122">
        <f t="shared" si="26"/>
        <v>0.2</v>
      </c>
      <c r="Q45" s="119">
        <f t="shared" si="27"/>
        <v>0</v>
      </c>
      <c r="R45" s="119" t="e">
        <f t="shared" si="28"/>
        <v>#REF!</v>
      </c>
      <c r="S45" s="116"/>
      <c r="T45" s="116"/>
      <c r="U45" s="116"/>
      <c r="V45" s="139" t="s">
        <v>254</v>
      </c>
      <c r="W45" s="107">
        <v>1</v>
      </c>
      <c r="X45" s="108"/>
      <c r="Y45" s="108"/>
      <c r="Z45" s="108"/>
      <c r="AA45" s="103"/>
      <c r="AB45" s="31"/>
      <c r="AC45" s="31"/>
      <c r="AD45" s="31"/>
      <c r="AE45" s="32"/>
      <c r="AF45" s="33"/>
      <c r="AG45" s="31"/>
      <c r="AH45" s="31"/>
      <c r="AI45" s="32"/>
      <c r="AJ45" s="30">
        <v>1</v>
      </c>
      <c r="AK45" s="31"/>
      <c r="AL45" s="31"/>
      <c r="AM45" s="32"/>
      <c r="AN45" s="33"/>
      <c r="AO45" s="31"/>
      <c r="AP45" s="31"/>
      <c r="AQ45" s="32"/>
      <c r="AR45" s="33"/>
      <c r="AS45" s="31"/>
      <c r="AT45" s="31"/>
      <c r="AU45" s="32"/>
      <c r="AV45" s="30">
        <v>1</v>
      </c>
      <c r="AW45" s="31"/>
      <c r="AX45" s="31"/>
      <c r="AY45" s="32"/>
      <c r="AZ45" s="33"/>
      <c r="BA45" s="31"/>
      <c r="BB45" s="31"/>
      <c r="BC45" s="32"/>
      <c r="BD45" s="33"/>
      <c r="BE45" s="31"/>
      <c r="BF45" s="31"/>
      <c r="BG45" s="32"/>
      <c r="BH45" s="30">
        <v>1</v>
      </c>
      <c r="BI45" s="31"/>
      <c r="BJ45" s="31"/>
      <c r="BK45" s="32"/>
      <c r="BL45" s="34"/>
      <c r="BM45" s="31"/>
      <c r="BN45" s="31"/>
      <c r="BO45" s="32"/>
      <c r="BP45" s="34"/>
      <c r="BQ45" s="31"/>
      <c r="BR45" s="31"/>
      <c r="BS45" s="32"/>
    </row>
    <row r="46" spans="1:71" ht="48" x14ac:dyDescent="0.3">
      <c r="A46" s="26" t="s">
        <v>458</v>
      </c>
      <c r="B46" s="51" t="s">
        <v>267</v>
      </c>
      <c r="C46" s="138"/>
      <c r="D46" s="143" t="s">
        <v>289</v>
      </c>
      <c r="E46" s="113" t="s">
        <v>305</v>
      </c>
      <c r="F46" s="116"/>
      <c r="G46" s="116"/>
      <c r="H46" s="116">
        <v>2025</v>
      </c>
      <c r="I46" s="140"/>
      <c r="J46" s="116">
        <v>10</v>
      </c>
      <c r="K46" s="141">
        <f t="shared" si="22"/>
        <v>0.1</v>
      </c>
      <c r="L46" s="142">
        <f t="shared" si="23"/>
        <v>0</v>
      </c>
      <c r="M46" s="119" t="e">
        <f t="shared" si="24"/>
        <v>#REF!</v>
      </c>
      <c r="N46" s="120" t="e">
        <f t="shared" si="25"/>
        <v>#REF!</v>
      </c>
      <c r="O46" s="121"/>
      <c r="P46" s="122">
        <f t="shared" si="26"/>
        <v>0.2</v>
      </c>
      <c r="Q46" s="119">
        <f t="shared" si="27"/>
        <v>0</v>
      </c>
      <c r="R46" s="119" t="e">
        <f t="shared" si="28"/>
        <v>#REF!</v>
      </c>
      <c r="S46" s="116"/>
      <c r="T46" s="116"/>
      <c r="U46" s="116"/>
      <c r="V46" s="139" t="s">
        <v>254</v>
      </c>
      <c r="W46" s="107">
        <v>1</v>
      </c>
      <c r="X46" s="108"/>
      <c r="Y46" s="108"/>
      <c r="Z46" s="108"/>
      <c r="AA46" s="110"/>
      <c r="AB46" s="105"/>
      <c r="AC46" s="105"/>
      <c r="AD46" s="105"/>
      <c r="AE46" s="106"/>
      <c r="AF46" s="111"/>
      <c r="AG46" s="105"/>
      <c r="AH46" s="105"/>
      <c r="AI46" s="106"/>
      <c r="AJ46" s="104">
        <v>1</v>
      </c>
      <c r="AK46" s="105"/>
      <c r="AL46" s="105"/>
      <c r="AM46" s="106"/>
      <c r="AN46" s="111"/>
      <c r="AO46" s="105"/>
      <c r="AP46" s="105"/>
      <c r="AQ46" s="106"/>
      <c r="AR46" s="111"/>
      <c r="AS46" s="105"/>
      <c r="AT46" s="105"/>
      <c r="AU46" s="106"/>
      <c r="AV46" s="104">
        <v>1</v>
      </c>
      <c r="AW46" s="105"/>
      <c r="AX46" s="105"/>
      <c r="AY46" s="106"/>
      <c r="AZ46" s="111"/>
      <c r="BA46" s="105"/>
      <c r="BB46" s="105"/>
      <c r="BC46" s="106"/>
      <c r="BD46" s="111"/>
      <c r="BE46" s="105"/>
      <c r="BF46" s="105"/>
      <c r="BG46" s="106"/>
      <c r="BH46" s="104">
        <v>1</v>
      </c>
      <c r="BI46" s="105"/>
      <c r="BJ46" s="105"/>
      <c r="BK46" s="106"/>
      <c r="BL46" s="112"/>
      <c r="BM46" s="105"/>
      <c r="BN46" s="105"/>
      <c r="BO46" s="106"/>
      <c r="BP46" s="112"/>
      <c r="BQ46" s="105"/>
      <c r="BR46" s="105"/>
      <c r="BS46" s="106"/>
    </row>
    <row r="47" spans="1:71" ht="48" x14ac:dyDescent="0.3">
      <c r="A47" s="26" t="s">
        <v>458</v>
      </c>
      <c r="B47" s="51" t="s">
        <v>272</v>
      </c>
      <c r="C47" s="116"/>
      <c r="D47" s="143" t="s">
        <v>289</v>
      </c>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c r="AI47" s="11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row>
    <row r="48" spans="1:71" ht="60" x14ac:dyDescent="0.3">
      <c r="A48" s="26" t="s">
        <v>458</v>
      </c>
      <c r="B48" s="51" t="s">
        <v>462</v>
      </c>
      <c r="C48" s="116"/>
      <c r="D48" s="143" t="s">
        <v>289</v>
      </c>
      <c r="E48" s="116"/>
      <c r="F48" s="116"/>
      <c r="G48" s="116"/>
      <c r="H48" s="116"/>
      <c r="I48" s="116"/>
      <c r="J48" s="116"/>
      <c r="K48" s="116"/>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c r="AI48" s="11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row>
    <row r="49" spans="1:71" ht="60" x14ac:dyDescent="0.3">
      <c r="A49" s="26" t="s">
        <v>458</v>
      </c>
      <c r="B49" s="51" t="s">
        <v>463</v>
      </c>
      <c r="C49" s="116"/>
      <c r="D49" s="143" t="s">
        <v>289</v>
      </c>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c r="AI49" s="11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row>
    <row r="50" spans="1:71" ht="48" x14ac:dyDescent="0.3">
      <c r="A50" s="26" t="s">
        <v>458</v>
      </c>
      <c r="B50" s="51" t="s">
        <v>372</v>
      </c>
      <c r="C50" s="116"/>
      <c r="D50" s="143" t="s">
        <v>289</v>
      </c>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116"/>
      <c r="AH50" s="116"/>
      <c r="AI50" s="11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row>
    <row r="51" spans="1:71" ht="48" x14ac:dyDescent="0.3">
      <c r="A51" s="26" t="s">
        <v>458</v>
      </c>
      <c r="B51" s="51" t="s">
        <v>382</v>
      </c>
      <c r="C51" s="116"/>
      <c r="D51" s="143" t="s">
        <v>289</v>
      </c>
      <c r="E51" s="116"/>
      <c r="F51" s="116"/>
      <c r="G51" s="116"/>
      <c r="H51" s="116"/>
      <c r="I51" s="116"/>
      <c r="J51" s="116"/>
      <c r="K51" s="116"/>
      <c r="L51" s="116"/>
      <c r="M51" s="116"/>
      <c r="N51" s="116"/>
      <c r="O51" s="116"/>
      <c r="P51" s="116"/>
      <c r="Q51" s="116"/>
      <c r="R51" s="116"/>
      <c r="S51" s="116"/>
      <c r="T51" s="116"/>
      <c r="U51" s="116"/>
      <c r="V51" s="116"/>
      <c r="W51" s="116"/>
      <c r="X51" s="116"/>
      <c r="Y51" s="116"/>
      <c r="Z51" s="116"/>
      <c r="AA51" s="116"/>
      <c r="AB51" s="116"/>
      <c r="AC51" s="116"/>
      <c r="AD51" s="116"/>
      <c r="AE51" s="116"/>
      <c r="AF51" s="116"/>
      <c r="AG51" s="116"/>
      <c r="AH51" s="116"/>
      <c r="AI51" s="11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row>
    <row r="52" spans="1:71" ht="48" x14ac:dyDescent="0.3">
      <c r="A52" s="26" t="s">
        <v>458</v>
      </c>
      <c r="B52" s="51" t="s">
        <v>464</v>
      </c>
      <c r="C52" s="116"/>
      <c r="D52" s="143" t="s">
        <v>289</v>
      </c>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row>
    <row r="53" spans="1:71" ht="48" x14ac:dyDescent="0.3">
      <c r="A53" s="26" t="s">
        <v>458</v>
      </c>
      <c r="B53" s="51" t="s">
        <v>396</v>
      </c>
      <c r="C53" s="116"/>
      <c r="D53" s="143" t="s">
        <v>289</v>
      </c>
      <c r="E53" s="116"/>
      <c r="F53" s="116"/>
      <c r="G53" s="116"/>
      <c r="H53" s="116"/>
      <c r="I53" s="116"/>
      <c r="J53" s="116"/>
      <c r="K53" s="116"/>
      <c r="L53" s="116"/>
      <c r="M53" s="116"/>
      <c r="N53" s="116"/>
      <c r="O53" s="116"/>
      <c r="P53" s="116"/>
      <c r="Q53" s="116"/>
      <c r="R53" s="116"/>
      <c r="S53" s="116"/>
      <c r="T53" s="116"/>
      <c r="U53" s="116"/>
      <c r="V53" s="116"/>
      <c r="W53" s="116"/>
      <c r="X53" s="116"/>
      <c r="Y53" s="116"/>
      <c r="Z53" s="116"/>
      <c r="AA53" s="116"/>
      <c r="AB53" s="116"/>
      <c r="AC53" s="116"/>
      <c r="AD53" s="116"/>
      <c r="AE53" s="116"/>
      <c r="AF53" s="116"/>
      <c r="AG53" s="116"/>
      <c r="AH53" s="116"/>
      <c r="AI53" s="11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row>
    <row r="54" spans="1:71" ht="60" x14ac:dyDescent="0.3">
      <c r="A54" s="26" t="s">
        <v>458</v>
      </c>
      <c r="B54" s="51" t="s">
        <v>459</v>
      </c>
      <c r="C54" s="116"/>
      <c r="D54" s="143" t="s">
        <v>289</v>
      </c>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row>
    <row r="55" spans="1:71" ht="48" x14ac:dyDescent="0.3">
      <c r="A55" s="26" t="s">
        <v>458</v>
      </c>
      <c r="B55" s="51" t="s">
        <v>460</v>
      </c>
      <c r="C55" s="116"/>
      <c r="D55" s="143" t="s">
        <v>289</v>
      </c>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c r="AI55" s="11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row>
    <row r="56" spans="1:71" ht="72" x14ac:dyDescent="0.3">
      <c r="A56" s="26" t="s">
        <v>458</v>
      </c>
      <c r="B56" s="51" t="s">
        <v>461</v>
      </c>
      <c r="C56" s="116"/>
      <c r="D56" s="143" t="s">
        <v>289</v>
      </c>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row>
    <row r="57" spans="1:71" ht="48" x14ac:dyDescent="0.3">
      <c r="A57" s="26" t="s">
        <v>458</v>
      </c>
      <c r="B57" s="51" t="s">
        <v>421</v>
      </c>
      <c r="C57" s="116"/>
      <c r="D57" s="143" t="s">
        <v>289</v>
      </c>
      <c r="E57" s="116"/>
      <c r="F57" s="116"/>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c r="AF57" s="116"/>
      <c r="AG57" s="116"/>
      <c r="AH57" s="116"/>
      <c r="AI57" s="11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row>
    <row r="58" spans="1:71" ht="48" x14ac:dyDescent="0.3">
      <c r="A58" s="26" t="s">
        <v>458</v>
      </c>
      <c r="B58" s="51" t="s">
        <v>425</v>
      </c>
      <c r="C58" s="116"/>
      <c r="D58" s="143" t="s">
        <v>289</v>
      </c>
      <c r="E58" s="116"/>
      <c r="F58" s="116"/>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c r="AG58" s="116"/>
      <c r="AH58" s="116"/>
      <c r="AI58" s="11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row>
    <row r="59" spans="1:71" ht="48" x14ac:dyDescent="0.3">
      <c r="A59" s="26" t="s">
        <v>458</v>
      </c>
      <c r="B59" s="51" t="s">
        <v>433</v>
      </c>
      <c r="C59" s="116"/>
      <c r="D59" s="143" t="s">
        <v>289</v>
      </c>
      <c r="E59" s="116"/>
      <c r="F59" s="116"/>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c r="AF59" s="116"/>
      <c r="AG59" s="116"/>
      <c r="AH59" s="116"/>
      <c r="AI59" s="11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row>
    <row r="60" spans="1:71" ht="48" x14ac:dyDescent="0.3">
      <c r="A60" s="26" t="s">
        <v>458</v>
      </c>
      <c r="B60" s="51" t="s">
        <v>429</v>
      </c>
      <c r="C60" s="116"/>
      <c r="D60" s="143" t="s">
        <v>465</v>
      </c>
      <c r="E60" s="116"/>
      <c r="F60" s="116"/>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6"/>
      <c r="AH60" s="116"/>
      <c r="AI60" s="11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row>
    <row r="61" spans="1:71" ht="48" x14ac:dyDescent="0.3">
      <c r="A61" s="26" t="s">
        <v>458</v>
      </c>
      <c r="B61" s="51" t="s">
        <v>436</v>
      </c>
      <c r="C61" s="116"/>
      <c r="D61" s="143" t="s">
        <v>276</v>
      </c>
      <c r="E61" s="116"/>
      <c r="F61" s="116"/>
      <c r="G61" s="116"/>
      <c r="H61" s="116"/>
      <c r="I61" s="116"/>
      <c r="J61" s="116"/>
      <c r="K61" s="116"/>
      <c r="L61" s="116"/>
      <c r="M61" s="116"/>
      <c r="N61" s="116"/>
      <c r="O61" s="116"/>
      <c r="P61" s="116"/>
      <c r="Q61" s="116"/>
      <c r="R61" s="116"/>
      <c r="S61" s="116"/>
      <c r="T61" s="116"/>
      <c r="U61" s="116"/>
      <c r="V61" s="116"/>
      <c r="W61" s="116"/>
      <c r="X61" s="116"/>
      <c r="Y61" s="116"/>
      <c r="Z61" s="116"/>
      <c r="AA61" s="116"/>
      <c r="AB61" s="116"/>
      <c r="AC61" s="116"/>
      <c r="AD61" s="116"/>
      <c r="AE61" s="116"/>
      <c r="AF61" s="116"/>
      <c r="AG61" s="116"/>
      <c r="AH61" s="116"/>
      <c r="AI61" s="11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row>
    <row r="62" spans="1:71" ht="48" x14ac:dyDescent="0.3">
      <c r="A62" s="26" t="s">
        <v>458</v>
      </c>
      <c r="B62" s="51" t="s">
        <v>364</v>
      </c>
      <c r="C62" s="116"/>
      <c r="D62" s="143" t="s">
        <v>466</v>
      </c>
      <c r="E62" s="116"/>
      <c r="F62" s="116"/>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6"/>
      <c r="AH62" s="116"/>
      <c r="AI62" s="11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row>
    <row r="63" spans="1:71" ht="40.799999999999997" x14ac:dyDescent="0.3">
      <c r="A63" s="26" t="s">
        <v>458</v>
      </c>
      <c r="B63" s="109" t="s">
        <v>373</v>
      </c>
      <c r="C63" s="116"/>
      <c r="D63" s="143" t="s">
        <v>466</v>
      </c>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row>
    <row r="64" spans="1:71" ht="48" x14ac:dyDescent="0.3">
      <c r="A64" s="26" t="s">
        <v>458</v>
      </c>
      <c r="B64" s="51" t="s">
        <v>383</v>
      </c>
      <c r="C64" s="116"/>
      <c r="D64" s="143" t="s">
        <v>466</v>
      </c>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row>
    <row r="65" spans="1:71" ht="48" x14ac:dyDescent="0.3">
      <c r="A65" s="26" t="s">
        <v>458</v>
      </c>
      <c r="B65" s="51" t="s">
        <v>391</v>
      </c>
      <c r="C65" s="116"/>
      <c r="D65" s="143" t="s">
        <v>466</v>
      </c>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row>
    <row r="66" spans="1:71" ht="48" x14ac:dyDescent="0.3">
      <c r="A66" s="26" t="s">
        <v>458</v>
      </c>
      <c r="B66" s="51" t="s">
        <v>322</v>
      </c>
      <c r="C66" s="116"/>
      <c r="D66" s="143" t="s">
        <v>311</v>
      </c>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row>
    <row r="67" spans="1:71" ht="48" x14ac:dyDescent="0.3">
      <c r="A67" s="26" t="s">
        <v>458</v>
      </c>
      <c r="B67" s="51" t="s">
        <v>330</v>
      </c>
      <c r="C67" s="116"/>
      <c r="D67" s="113" t="s">
        <v>311</v>
      </c>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row>
    <row r="68" spans="1:71" ht="48" x14ac:dyDescent="0.3">
      <c r="A68" s="26" t="s">
        <v>458</v>
      </c>
      <c r="B68" s="51" t="s">
        <v>337</v>
      </c>
      <c r="C68" s="116"/>
      <c r="D68" s="113" t="s">
        <v>311</v>
      </c>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row>
    <row r="69" spans="1:71" ht="48" x14ac:dyDescent="0.3">
      <c r="A69" s="26" t="s">
        <v>458</v>
      </c>
      <c r="B69" s="51" t="s">
        <v>343</v>
      </c>
      <c r="C69" s="116"/>
      <c r="D69" s="113" t="s">
        <v>311</v>
      </c>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row>
    <row r="70" spans="1:71" ht="48" x14ac:dyDescent="0.3">
      <c r="A70" s="26" t="s">
        <v>458</v>
      </c>
      <c r="B70" s="51" t="s">
        <v>349</v>
      </c>
      <c r="C70" s="116"/>
      <c r="D70" s="113" t="s">
        <v>311</v>
      </c>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row>
    <row r="71" spans="1:71" ht="48" x14ac:dyDescent="0.3">
      <c r="A71" s="26" t="s">
        <v>458</v>
      </c>
      <c r="B71" s="51" t="s">
        <v>356</v>
      </c>
      <c r="C71" s="116"/>
      <c r="D71" s="113" t="s">
        <v>311</v>
      </c>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row>
    <row r="72" spans="1:71" ht="48" x14ac:dyDescent="0.3">
      <c r="A72" s="26" t="s">
        <v>458</v>
      </c>
      <c r="B72" s="51" t="s">
        <v>365</v>
      </c>
      <c r="C72" s="116"/>
      <c r="D72" s="113" t="s">
        <v>311</v>
      </c>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row>
    <row r="73" spans="1:71" ht="60" x14ac:dyDescent="0.3">
      <c r="A73" s="26" t="s">
        <v>458</v>
      </c>
      <c r="B73" s="51" t="s">
        <v>374</v>
      </c>
      <c r="C73" s="116"/>
      <c r="D73" s="113" t="s">
        <v>311</v>
      </c>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c r="AI73" s="11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row>
    <row r="74" spans="1:71" ht="48" x14ac:dyDescent="0.3">
      <c r="A74" s="26" t="s">
        <v>458</v>
      </c>
      <c r="B74" s="51" t="s">
        <v>397</v>
      </c>
      <c r="C74" s="116"/>
      <c r="D74" s="113" t="s">
        <v>311</v>
      </c>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c r="AD74" s="116"/>
      <c r="AE74" s="116"/>
      <c r="AF74" s="116"/>
      <c r="AG74" s="116"/>
      <c r="AH74" s="116"/>
      <c r="AI74" s="11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row>
    <row r="75" spans="1:71" ht="60" x14ac:dyDescent="0.3">
      <c r="A75" s="26" t="s">
        <v>458</v>
      </c>
      <c r="B75" s="51" t="s">
        <v>467</v>
      </c>
      <c r="C75" s="116"/>
      <c r="D75" s="113" t="s">
        <v>311</v>
      </c>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c r="AD75" s="116"/>
      <c r="AE75" s="116"/>
      <c r="AF75" s="116"/>
      <c r="AG75" s="116"/>
      <c r="AH75" s="116"/>
      <c r="AI75" s="11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row>
    <row r="76" spans="1:71" ht="48" x14ac:dyDescent="0.3">
      <c r="A76" s="26" t="s">
        <v>458</v>
      </c>
      <c r="B76" s="51" t="s">
        <v>323</v>
      </c>
      <c r="C76" s="116"/>
      <c r="D76" s="113" t="s">
        <v>276</v>
      </c>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c r="AH76" s="116"/>
      <c r="AI76" s="11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row>
    <row r="77" spans="1:71" ht="48" x14ac:dyDescent="0.3">
      <c r="A77" s="26" t="s">
        <v>458</v>
      </c>
      <c r="B77" s="51" t="s">
        <v>277</v>
      </c>
      <c r="C77" s="116"/>
      <c r="D77" s="113" t="s">
        <v>276</v>
      </c>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c r="AH77" s="116"/>
      <c r="AI77" s="11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row>
    <row r="78" spans="1:71" ht="48" x14ac:dyDescent="0.3">
      <c r="A78" s="26" t="s">
        <v>458</v>
      </c>
      <c r="B78" s="51" t="s">
        <v>278</v>
      </c>
      <c r="C78" s="116"/>
      <c r="D78" s="113" t="s">
        <v>276</v>
      </c>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6"/>
      <c r="AH78" s="116"/>
      <c r="AI78" s="11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row>
    <row r="79" spans="1:71" ht="48" x14ac:dyDescent="0.3">
      <c r="A79" s="26" t="s">
        <v>458</v>
      </c>
      <c r="B79" s="51" t="s">
        <v>279</v>
      </c>
      <c r="C79" s="116"/>
      <c r="D79" s="113" t="s">
        <v>276</v>
      </c>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c r="AG79" s="116"/>
      <c r="AH79" s="116"/>
      <c r="AI79" s="11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row>
    <row r="80" spans="1:71" ht="48" x14ac:dyDescent="0.3">
      <c r="A80" s="26" t="s">
        <v>458</v>
      </c>
      <c r="B80" s="51" t="s">
        <v>281</v>
      </c>
      <c r="C80" s="116"/>
      <c r="D80" s="113" t="s">
        <v>276</v>
      </c>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c r="AD80" s="116"/>
      <c r="AE80" s="116"/>
      <c r="AF80" s="116"/>
      <c r="AG80" s="116"/>
      <c r="AH80" s="116"/>
      <c r="AI80" s="11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row>
    <row r="81" spans="1:71" ht="60" x14ac:dyDescent="0.3">
      <c r="A81" s="26" t="s">
        <v>458</v>
      </c>
      <c r="B81" s="51" t="s">
        <v>282</v>
      </c>
      <c r="C81" s="116"/>
      <c r="D81" s="113" t="s">
        <v>276</v>
      </c>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c r="AD81" s="116"/>
      <c r="AE81" s="116"/>
      <c r="AF81" s="116"/>
      <c r="AG81" s="116"/>
      <c r="AH81" s="116"/>
      <c r="AI81" s="11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row>
    <row r="82" spans="1:71" ht="48" x14ac:dyDescent="0.3">
      <c r="A82" s="26" t="s">
        <v>458</v>
      </c>
      <c r="B82" s="51" t="s">
        <v>366</v>
      </c>
      <c r="C82" s="116"/>
      <c r="D82" s="113" t="s">
        <v>276</v>
      </c>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c r="AG82" s="116"/>
      <c r="AH82" s="116"/>
      <c r="AI82" s="11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row>
    <row r="83" spans="1:71" ht="48" x14ac:dyDescent="0.3">
      <c r="A83" s="26" t="s">
        <v>458</v>
      </c>
      <c r="B83" s="51" t="s">
        <v>375</v>
      </c>
      <c r="C83" s="116"/>
      <c r="D83" s="113" t="s">
        <v>276</v>
      </c>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c r="AG83" s="116"/>
      <c r="AH83" s="116"/>
      <c r="AI83" s="11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row>
    <row r="84" spans="1:71" ht="48" x14ac:dyDescent="0.3">
      <c r="A84" s="26" t="s">
        <v>458</v>
      </c>
      <c r="B84" s="51" t="s">
        <v>284</v>
      </c>
      <c r="C84" s="116"/>
      <c r="D84" s="113" t="s">
        <v>276</v>
      </c>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c r="AI84" s="11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row>
    <row r="85" spans="1:71" ht="48" x14ac:dyDescent="0.3">
      <c r="A85" s="26" t="s">
        <v>458</v>
      </c>
      <c r="B85" s="51" t="s">
        <v>285</v>
      </c>
      <c r="C85" s="116"/>
      <c r="D85" s="113" t="s">
        <v>276</v>
      </c>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row>
    <row r="86" spans="1:71" ht="48" x14ac:dyDescent="0.3">
      <c r="A86" s="26" t="s">
        <v>458</v>
      </c>
      <c r="B86" s="51" t="s">
        <v>398</v>
      </c>
      <c r="C86" s="116"/>
      <c r="D86" s="113" t="s">
        <v>276</v>
      </c>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c r="AI86" s="11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row>
    <row r="87" spans="1:71" ht="48" x14ac:dyDescent="0.3">
      <c r="A87" s="26" t="s">
        <v>458</v>
      </c>
      <c r="B87" s="51" t="s">
        <v>404</v>
      </c>
      <c r="C87" s="116"/>
      <c r="D87" s="113" t="s">
        <v>276</v>
      </c>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c r="AI87" s="11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row>
    <row r="88" spans="1:71" ht="48" x14ac:dyDescent="0.3">
      <c r="A88" s="26" t="s">
        <v>458</v>
      </c>
      <c r="B88" s="51" t="s">
        <v>410</v>
      </c>
      <c r="C88" s="116"/>
      <c r="D88" s="113" t="s">
        <v>276</v>
      </c>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c r="AI88" s="11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row>
    <row r="89" spans="1:71" ht="60" x14ac:dyDescent="0.3">
      <c r="A89" s="26" t="s">
        <v>458</v>
      </c>
      <c r="B89" s="51" t="s">
        <v>468</v>
      </c>
      <c r="C89" s="116"/>
      <c r="D89" s="113" t="s">
        <v>276</v>
      </c>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row>
    <row r="90" spans="1:71" ht="48" x14ac:dyDescent="0.3">
      <c r="A90" s="26" t="s">
        <v>458</v>
      </c>
      <c r="B90" s="51" t="s">
        <v>469</v>
      </c>
      <c r="C90" s="116"/>
      <c r="D90" s="113" t="s">
        <v>276</v>
      </c>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row>
    <row r="91" spans="1:71" ht="48" x14ac:dyDescent="0.3">
      <c r="A91" s="26" t="s">
        <v>458</v>
      </c>
      <c r="B91" s="51" t="s">
        <v>470</v>
      </c>
      <c r="C91" s="116"/>
      <c r="D91" s="113" t="s">
        <v>276</v>
      </c>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row>
    <row r="92" spans="1:71" ht="48" x14ac:dyDescent="0.3">
      <c r="A92" s="26" t="s">
        <v>458</v>
      </c>
      <c r="B92" s="51" t="s">
        <v>471</v>
      </c>
      <c r="C92" s="116"/>
      <c r="D92" s="113" t="s">
        <v>276</v>
      </c>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c r="AI92" s="11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row>
    <row r="93" spans="1:71" ht="48" x14ac:dyDescent="0.3">
      <c r="A93" s="26" t="s">
        <v>458</v>
      </c>
      <c r="B93" s="51" t="s">
        <v>430</v>
      </c>
      <c r="C93" s="116"/>
      <c r="D93" s="113" t="s">
        <v>276</v>
      </c>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c r="AI93" s="11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row>
    <row r="94" spans="1:71" ht="48" x14ac:dyDescent="0.3">
      <c r="A94" s="26" t="s">
        <v>458</v>
      </c>
      <c r="B94" s="51" t="s">
        <v>324</v>
      </c>
      <c r="C94" s="116"/>
      <c r="D94" s="143" t="s">
        <v>473</v>
      </c>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row>
    <row r="95" spans="1:71" ht="48" x14ac:dyDescent="0.3">
      <c r="A95" s="26" t="s">
        <v>458</v>
      </c>
      <c r="B95" s="51" t="s">
        <v>331</v>
      </c>
      <c r="C95" s="116"/>
      <c r="D95" s="143" t="s">
        <v>473</v>
      </c>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row>
    <row r="96" spans="1:71" ht="48" x14ac:dyDescent="0.3">
      <c r="A96" s="26" t="s">
        <v>458</v>
      </c>
      <c r="B96" s="51" t="s">
        <v>338</v>
      </c>
      <c r="C96" s="116"/>
      <c r="D96" s="143" t="s">
        <v>473</v>
      </c>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row>
    <row r="97" spans="1:71" ht="48" x14ac:dyDescent="0.3">
      <c r="A97" s="26" t="s">
        <v>458</v>
      </c>
      <c r="B97" s="51" t="s">
        <v>344</v>
      </c>
      <c r="C97" s="116"/>
      <c r="D97" s="143" t="s">
        <v>473</v>
      </c>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row>
    <row r="98" spans="1:71" ht="48" x14ac:dyDescent="0.3">
      <c r="A98" s="26" t="s">
        <v>458</v>
      </c>
      <c r="B98" s="51" t="s">
        <v>350</v>
      </c>
      <c r="C98" s="116"/>
      <c r="D98" s="143" t="s">
        <v>473</v>
      </c>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row>
    <row r="99" spans="1:71" ht="48" x14ac:dyDescent="0.3">
      <c r="A99" s="26" t="s">
        <v>458</v>
      </c>
      <c r="B99" s="51" t="s">
        <v>357</v>
      </c>
      <c r="C99" s="116"/>
      <c r="D99" s="143" t="s">
        <v>473</v>
      </c>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row>
    <row r="100" spans="1:71" ht="48" x14ac:dyDescent="0.3">
      <c r="A100" s="26" t="s">
        <v>458</v>
      </c>
      <c r="B100" s="51" t="s">
        <v>367</v>
      </c>
      <c r="C100" s="116"/>
      <c r="D100" s="143" t="s">
        <v>473</v>
      </c>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row>
    <row r="101" spans="1:71" ht="48" x14ac:dyDescent="0.3">
      <c r="A101" s="26" t="s">
        <v>458</v>
      </c>
      <c r="B101" s="51" t="s">
        <v>376</v>
      </c>
      <c r="C101" s="116"/>
      <c r="D101" s="143" t="s">
        <v>473</v>
      </c>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row>
    <row r="102" spans="1:71" ht="48" x14ac:dyDescent="0.3">
      <c r="A102" s="26" t="s">
        <v>458</v>
      </c>
      <c r="B102" s="51" t="s">
        <v>385</v>
      </c>
      <c r="C102" s="116"/>
      <c r="D102" s="143" t="s">
        <v>473</v>
      </c>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row>
    <row r="103" spans="1:71" ht="48" x14ac:dyDescent="0.3">
      <c r="A103" s="26" t="s">
        <v>458</v>
      </c>
      <c r="B103" s="51" t="s">
        <v>393</v>
      </c>
      <c r="C103" s="116"/>
      <c r="D103" s="143" t="s">
        <v>473</v>
      </c>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row>
    <row r="104" spans="1:71" ht="48" x14ac:dyDescent="0.3">
      <c r="A104" s="26" t="s">
        <v>458</v>
      </c>
      <c r="B104" s="51" t="s">
        <v>399</v>
      </c>
      <c r="C104" s="116"/>
      <c r="D104" s="143" t="s">
        <v>473</v>
      </c>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row>
    <row r="105" spans="1:71" ht="48" x14ac:dyDescent="0.3">
      <c r="A105" s="26" t="s">
        <v>458</v>
      </c>
      <c r="B105" s="51" t="s">
        <v>405</v>
      </c>
      <c r="C105" s="116"/>
      <c r="D105" s="143" t="s">
        <v>473</v>
      </c>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row>
    <row r="106" spans="1:71" ht="48" x14ac:dyDescent="0.3">
      <c r="A106" s="26" t="s">
        <v>458</v>
      </c>
      <c r="B106" s="51" t="s">
        <v>411</v>
      </c>
      <c r="C106" s="116"/>
      <c r="D106" s="143" t="s">
        <v>473</v>
      </c>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row>
    <row r="107" spans="1:71" ht="48" x14ac:dyDescent="0.3">
      <c r="A107" s="26" t="s">
        <v>458</v>
      </c>
      <c r="B107" s="51" t="s">
        <v>415</v>
      </c>
      <c r="C107" s="116"/>
      <c r="D107" s="143" t="s">
        <v>473</v>
      </c>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row>
    <row r="108" spans="1:71" ht="48" x14ac:dyDescent="0.3">
      <c r="A108" s="26" t="s">
        <v>458</v>
      </c>
      <c r="B108" s="51" t="s">
        <v>419</v>
      </c>
      <c r="C108" s="116"/>
      <c r="D108" s="143" t="s">
        <v>473</v>
      </c>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row>
    <row r="109" spans="1:71" ht="48" x14ac:dyDescent="0.3">
      <c r="A109" s="26" t="s">
        <v>458</v>
      </c>
      <c r="B109" s="51" t="s">
        <v>423</v>
      </c>
      <c r="C109" s="116"/>
      <c r="D109" s="143" t="s">
        <v>473</v>
      </c>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row>
    <row r="110" spans="1:71" ht="48" x14ac:dyDescent="0.3">
      <c r="A110" s="26" t="s">
        <v>458</v>
      </c>
      <c r="B110" s="51" t="s">
        <v>427</v>
      </c>
      <c r="C110" s="116"/>
      <c r="D110" s="143" t="s">
        <v>473</v>
      </c>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row>
    <row r="111" spans="1:71" ht="48" x14ac:dyDescent="0.3">
      <c r="A111" s="26" t="s">
        <v>458</v>
      </c>
      <c r="B111" s="51" t="s">
        <v>431</v>
      </c>
      <c r="C111" s="116"/>
      <c r="D111" s="143" t="s">
        <v>473</v>
      </c>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row>
    <row r="112" spans="1:71" ht="48" x14ac:dyDescent="0.3">
      <c r="A112" s="26" t="s">
        <v>458</v>
      </c>
      <c r="B112" s="51" t="s">
        <v>434</v>
      </c>
      <c r="C112" s="116"/>
      <c r="D112" s="143" t="s">
        <v>473</v>
      </c>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row>
    <row r="113" spans="1:71" ht="48" x14ac:dyDescent="0.3">
      <c r="A113" s="26" t="s">
        <v>458</v>
      </c>
      <c r="B113" s="51" t="s">
        <v>472</v>
      </c>
      <c r="C113" s="116"/>
      <c r="D113" s="143" t="s">
        <v>473</v>
      </c>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row>
    <row r="114" spans="1:71" ht="48" x14ac:dyDescent="0.3">
      <c r="A114" s="26" t="s">
        <v>458</v>
      </c>
      <c r="B114" s="51" t="s">
        <v>439</v>
      </c>
      <c r="C114" s="116"/>
      <c r="D114" s="143" t="s">
        <v>473</v>
      </c>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row>
    <row r="115" spans="1:71" ht="48" x14ac:dyDescent="0.3">
      <c r="A115" s="26" t="s">
        <v>458</v>
      </c>
      <c r="B115" s="51" t="s">
        <v>441</v>
      </c>
      <c r="C115" s="116"/>
      <c r="D115" s="143" t="s">
        <v>473</v>
      </c>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row>
    <row r="116" spans="1:71" ht="48" x14ac:dyDescent="0.3">
      <c r="A116" s="26" t="s">
        <v>458</v>
      </c>
      <c r="B116" s="51" t="s">
        <v>325</v>
      </c>
      <c r="C116" s="116"/>
      <c r="D116" s="143" t="s">
        <v>481</v>
      </c>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row>
    <row r="117" spans="1:71" ht="48" x14ac:dyDescent="0.3">
      <c r="A117" s="26" t="s">
        <v>458</v>
      </c>
      <c r="B117" s="51" t="s">
        <v>474</v>
      </c>
      <c r="C117" s="116"/>
      <c r="D117" s="143" t="s">
        <v>481</v>
      </c>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row>
    <row r="118" spans="1:71" ht="48" x14ac:dyDescent="0.3">
      <c r="A118" s="26" t="s">
        <v>458</v>
      </c>
      <c r="B118" s="51" t="s">
        <v>339</v>
      </c>
      <c r="C118" s="116"/>
      <c r="D118" s="143" t="s">
        <v>481</v>
      </c>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row>
    <row r="119" spans="1:71" ht="48" x14ac:dyDescent="0.3">
      <c r="A119" s="26" t="s">
        <v>458</v>
      </c>
      <c r="B119" s="51" t="s">
        <v>346</v>
      </c>
      <c r="C119" s="116"/>
      <c r="D119" s="143" t="s">
        <v>481</v>
      </c>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row>
    <row r="120" spans="1:71" ht="48" x14ac:dyDescent="0.3">
      <c r="A120" s="26" t="s">
        <v>458</v>
      </c>
      <c r="B120" s="51" t="s">
        <v>352</v>
      </c>
      <c r="C120" s="116"/>
      <c r="D120" s="143" t="s">
        <v>481</v>
      </c>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row>
    <row r="121" spans="1:71" ht="48" x14ac:dyDescent="0.3">
      <c r="A121" s="26" t="s">
        <v>458</v>
      </c>
      <c r="B121" s="51" t="s">
        <v>359</v>
      </c>
      <c r="C121" s="116"/>
      <c r="D121" s="143" t="s">
        <v>481</v>
      </c>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row>
    <row r="122" spans="1:71" ht="48" x14ac:dyDescent="0.3">
      <c r="A122" s="26" t="s">
        <v>458</v>
      </c>
      <c r="B122" s="51" t="s">
        <v>369</v>
      </c>
      <c r="C122" s="116"/>
      <c r="D122" s="143" t="s">
        <v>481</v>
      </c>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row>
    <row r="123" spans="1:71" ht="48" x14ac:dyDescent="0.3">
      <c r="A123" s="26" t="s">
        <v>458</v>
      </c>
      <c r="B123" s="51" t="s">
        <v>379</v>
      </c>
      <c r="C123" s="116"/>
      <c r="D123" s="143" t="s">
        <v>481</v>
      </c>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row>
    <row r="124" spans="1:71" ht="48" x14ac:dyDescent="0.3">
      <c r="A124" s="26" t="s">
        <v>458</v>
      </c>
      <c r="B124" s="51" t="s">
        <v>387</v>
      </c>
      <c r="C124" s="116"/>
      <c r="D124" s="143" t="s">
        <v>481</v>
      </c>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row>
    <row r="125" spans="1:71" ht="48" x14ac:dyDescent="0.3">
      <c r="A125" s="26" t="s">
        <v>458</v>
      </c>
      <c r="B125" s="51" t="s">
        <v>326</v>
      </c>
      <c r="C125" s="116"/>
      <c r="D125" s="143" t="s">
        <v>316</v>
      </c>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row>
    <row r="126" spans="1:71" ht="48" x14ac:dyDescent="0.3">
      <c r="A126" s="26" t="s">
        <v>458</v>
      </c>
      <c r="B126" s="51" t="s">
        <v>334</v>
      </c>
      <c r="C126" s="116"/>
      <c r="D126" s="143" t="s">
        <v>316</v>
      </c>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row>
    <row r="127" spans="1:71" ht="48" x14ac:dyDescent="0.3">
      <c r="A127" s="26" t="s">
        <v>458</v>
      </c>
      <c r="B127" s="51" t="s">
        <v>340</v>
      </c>
      <c r="C127" s="116"/>
      <c r="D127" s="143" t="s">
        <v>316</v>
      </c>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row>
    <row r="128" spans="1:71" ht="48" x14ac:dyDescent="0.3">
      <c r="A128" s="26" t="s">
        <v>458</v>
      </c>
      <c r="B128" s="51" t="s">
        <v>347</v>
      </c>
      <c r="C128" s="116"/>
      <c r="D128" s="143" t="s">
        <v>316</v>
      </c>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row>
    <row r="129" spans="1:71" ht="48" x14ac:dyDescent="0.3">
      <c r="A129" s="26" t="s">
        <v>458</v>
      </c>
      <c r="B129" s="51" t="s">
        <v>353</v>
      </c>
      <c r="C129" s="116"/>
      <c r="D129" s="143" t="s">
        <v>316</v>
      </c>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row>
    <row r="130" spans="1:71" ht="48" x14ac:dyDescent="0.3">
      <c r="A130" s="26" t="s">
        <v>458</v>
      </c>
      <c r="B130" s="51" t="s">
        <v>361</v>
      </c>
      <c r="C130" s="116"/>
      <c r="D130" s="143" t="s">
        <v>316</v>
      </c>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row>
    <row r="131" spans="1:71" ht="48" x14ac:dyDescent="0.3">
      <c r="A131" s="26" t="s">
        <v>458</v>
      </c>
      <c r="B131" s="51" t="s">
        <v>370</v>
      </c>
      <c r="C131" s="116"/>
      <c r="D131" s="143" t="s">
        <v>316</v>
      </c>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row>
    <row r="132" spans="1:71" ht="48" x14ac:dyDescent="0.3">
      <c r="A132" s="26" t="s">
        <v>458</v>
      </c>
      <c r="B132" s="51" t="s">
        <v>380</v>
      </c>
      <c r="C132" s="116"/>
      <c r="D132" s="143" t="s">
        <v>316</v>
      </c>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row>
    <row r="133" spans="1:71" ht="48" x14ac:dyDescent="0.3">
      <c r="A133" s="26" t="s">
        <v>458</v>
      </c>
      <c r="B133" s="51" t="s">
        <v>388</v>
      </c>
      <c r="C133" s="116"/>
      <c r="D133" s="143" t="s">
        <v>316</v>
      </c>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row>
    <row r="134" spans="1:71" ht="48" x14ac:dyDescent="0.3">
      <c r="A134" s="26" t="s">
        <v>458</v>
      </c>
      <c r="B134" s="51" t="s">
        <v>395</v>
      </c>
      <c r="C134" s="116"/>
      <c r="D134" s="143" t="s">
        <v>316</v>
      </c>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row>
    <row r="135" spans="1:71" ht="48" x14ac:dyDescent="0.3">
      <c r="A135" s="26" t="s">
        <v>458</v>
      </c>
      <c r="B135" s="51" t="s">
        <v>401</v>
      </c>
      <c r="C135" s="116"/>
      <c r="D135" s="143" t="s">
        <v>316</v>
      </c>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row>
    <row r="136" spans="1:71" ht="48" x14ac:dyDescent="0.3">
      <c r="A136" s="26" t="s">
        <v>458</v>
      </c>
      <c r="B136" s="51" t="s">
        <v>407</v>
      </c>
      <c r="C136" s="116"/>
      <c r="D136" s="143" t="s">
        <v>316</v>
      </c>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6"/>
      <c r="BR136" s="26"/>
      <c r="BS136" s="26"/>
    </row>
    <row r="137" spans="1:71" ht="48" x14ac:dyDescent="0.3">
      <c r="A137" s="26" t="s">
        <v>458</v>
      </c>
      <c r="B137" s="51" t="s">
        <v>412</v>
      </c>
      <c r="C137" s="116"/>
      <c r="D137" s="143" t="s">
        <v>316</v>
      </c>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6"/>
      <c r="BR137" s="26"/>
      <c r="BS137" s="26"/>
    </row>
    <row r="138" spans="1:71" ht="48" x14ac:dyDescent="0.3">
      <c r="A138" s="26" t="s">
        <v>458</v>
      </c>
      <c r="B138" s="51" t="s">
        <v>416</v>
      </c>
      <c r="C138" s="116"/>
      <c r="D138" s="143" t="s">
        <v>316</v>
      </c>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6"/>
      <c r="BR138" s="26"/>
      <c r="BS138" s="26"/>
    </row>
    <row r="139" spans="1:71" ht="48" x14ac:dyDescent="0.3">
      <c r="A139" s="26" t="s">
        <v>458</v>
      </c>
      <c r="B139" s="51" t="s">
        <v>420</v>
      </c>
      <c r="C139" s="116"/>
      <c r="D139" s="143" t="s">
        <v>316</v>
      </c>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row>
    <row r="140" spans="1:71" ht="48" x14ac:dyDescent="0.3">
      <c r="A140" s="26" t="s">
        <v>458</v>
      </c>
      <c r="B140" s="51" t="s">
        <v>424</v>
      </c>
      <c r="C140" s="116"/>
      <c r="D140" s="143" t="s">
        <v>316</v>
      </c>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6"/>
      <c r="BR140" s="26"/>
      <c r="BS140" s="26"/>
    </row>
    <row r="141" spans="1:71" ht="48" x14ac:dyDescent="0.3">
      <c r="A141" s="26" t="s">
        <v>458</v>
      </c>
      <c r="B141" s="51" t="s">
        <v>428</v>
      </c>
      <c r="C141" s="116"/>
      <c r="D141" s="143" t="s">
        <v>316</v>
      </c>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row>
    <row r="142" spans="1:71" ht="48" x14ac:dyDescent="0.3">
      <c r="A142" s="26" t="s">
        <v>458</v>
      </c>
      <c r="B142" s="51" t="s">
        <v>432</v>
      </c>
      <c r="C142" s="116"/>
      <c r="D142" s="143" t="s">
        <v>316</v>
      </c>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row>
    <row r="143" spans="1:71" ht="48" x14ac:dyDescent="0.3">
      <c r="A143" s="26" t="s">
        <v>458</v>
      </c>
      <c r="B143" s="51" t="s">
        <v>476</v>
      </c>
      <c r="C143" s="116"/>
      <c r="D143" s="143" t="s">
        <v>316</v>
      </c>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row>
    <row r="144" spans="1:71" ht="48" x14ac:dyDescent="0.3">
      <c r="A144" s="26" t="s">
        <v>458</v>
      </c>
      <c r="B144" s="51" t="s">
        <v>478</v>
      </c>
      <c r="C144" s="116"/>
      <c r="D144" s="143" t="s">
        <v>316</v>
      </c>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6"/>
      <c r="BR144" s="26"/>
      <c r="BS144" s="26"/>
    </row>
    <row r="145" spans="1:71" ht="48" x14ac:dyDescent="0.3">
      <c r="A145" s="26" t="s">
        <v>458</v>
      </c>
      <c r="B145" s="51" t="s">
        <v>477</v>
      </c>
      <c r="C145" s="116"/>
      <c r="D145" s="143" t="s">
        <v>316</v>
      </c>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6"/>
      <c r="BR145" s="26"/>
      <c r="BS145" s="26"/>
    </row>
    <row r="146" spans="1:71" ht="48" x14ac:dyDescent="0.3">
      <c r="A146" s="26" t="s">
        <v>458</v>
      </c>
      <c r="B146" s="51" t="s">
        <v>442</v>
      </c>
      <c r="C146" s="116"/>
      <c r="D146" s="143" t="s">
        <v>316</v>
      </c>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6"/>
      <c r="BR146" s="26"/>
      <c r="BS146" s="26"/>
    </row>
    <row r="147" spans="1:71" ht="60" x14ac:dyDescent="0.3">
      <c r="A147" s="26" t="s">
        <v>458</v>
      </c>
      <c r="B147" s="51" t="s">
        <v>444</v>
      </c>
      <c r="C147" s="116"/>
      <c r="D147" s="143" t="s">
        <v>316</v>
      </c>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6"/>
      <c r="BR147" s="26"/>
      <c r="BS147" s="26"/>
    </row>
    <row r="148" spans="1:71" ht="48" x14ac:dyDescent="0.3">
      <c r="A148" s="26" t="s">
        <v>458</v>
      </c>
      <c r="B148" s="51" t="s">
        <v>445</v>
      </c>
      <c r="C148" s="116"/>
      <c r="D148" s="143" t="s">
        <v>316</v>
      </c>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6"/>
      <c r="BR148" s="26"/>
      <c r="BS148" s="26"/>
    </row>
    <row r="149" spans="1:71" ht="48" x14ac:dyDescent="0.3">
      <c r="A149" s="26" t="s">
        <v>458</v>
      </c>
      <c r="B149" s="51" t="s">
        <v>446</v>
      </c>
      <c r="C149" s="116"/>
      <c r="D149" s="143" t="s">
        <v>316</v>
      </c>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6"/>
      <c r="BR149" s="26"/>
      <c r="BS149" s="26"/>
    </row>
    <row r="150" spans="1:71" ht="48" x14ac:dyDescent="0.3">
      <c r="A150" s="26" t="s">
        <v>458</v>
      </c>
      <c r="B150" s="51" t="s">
        <v>447</v>
      </c>
      <c r="C150" s="116"/>
      <c r="D150" s="143" t="s">
        <v>316</v>
      </c>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6"/>
      <c r="BR150" s="26"/>
      <c r="BS150" s="26"/>
    </row>
    <row r="151" spans="1:71" ht="48" x14ac:dyDescent="0.3">
      <c r="A151" s="26" t="s">
        <v>458</v>
      </c>
      <c r="B151" s="51" t="s">
        <v>448</v>
      </c>
      <c r="C151" s="116"/>
      <c r="D151" s="143" t="s">
        <v>316</v>
      </c>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row>
    <row r="152" spans="1:71" ht="48" x14ac:dyDescent="0.3">
      <c r="A152" s="26" t="s">
        <v>458</v>
      </c>
      <c r="B152" s="51" t="s">
        <v>449</v>
      </c>
      <c r="C152" s="116"/>
      <c r="D152" s="143" t="s">
        <v>316</v>
      </c>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6"/>
      <c r="BR152" s="26"/>
      <c r="BS152" s="26"/>
    </row>
    <row r="153" spans="1:71" ht="48" x14ac:dyDescent="0.3">
      <c r="A153" s="26" t="s">
        <v>458</v>
      </c>
      <c r="B153" s="51" t="s">
        <v>480</v>
      </c>
      <c r="C153" s="116"/>
      <c r="D153" s="143" t="s">
        <v>316</v>
      </c>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row>
    <row r="154" spans="1:71" ht="48" x14ac:dyDescent="0.3">
      <c r="A154" s="26" t="s">
        <v>458</v>
      </c>
      <c r="B154" s="51" t="s">
        <v>475</v>
      </c>
      <c r="C154" s="116"/>
      <c r="D154" s="143" t="s">
        <v>316</v>
      </c>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6"/>
      <c r="BR154" s="26"/>
      <c r="BS154" s="26"/>
    </row>
    <row r="155" spans="1:71" ht="48" x14ac:dyDescent="0.3">
      <c r="A155" s="26" t="s">
        <v>458</v>
      </c>
      <c r="B155" s="51" t="s">
        <v>479</v>
      </c>
      <c r="C155" s="116"/>
      <c r="D155" s="143" t="s">
        <v>316</v>
      </c>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row>
    <row r="156" spans="1:71" ht="48" x14ac:dyDescent="0.3">
      <c r="A156" s="26" t="s">
        <v>458</v>
      </c>
      <c r="B156" s="51" t="s">
        <v>453</v>
      </c>
      <c r="C156" s="116"/>
      <c r="D156" s="143" t="s">
        <v>316</v>
      </c>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row>
    <row r="157" spans="1:71" ht="48" x14ac:dyDescent="0.3">
      <c r="A157" s="26" t="s">
        <v>458</v>
      </c>
      <c r="B157" s="51" t="s">
        <v>454</v>
      </c>
      <c r="C157" s="116"/>
      <c r="D157" s="143" t="s">
        <v>316</v>
      </c>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row>
    <row r="158" spans="1:71" ht="48" x14ac:dyDescent="0.3">
      <c r="A158" s="26" t="s">
        <v>458</v>
      </c>
      <c r="B158" s="51" t="s">
        <v>455</v>
      </c>
      <c r="C158" s="116"/>
      <c r="D158" s="143" t="s">
        <v>316</v>
      </c>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row>
  </sheetData>
  <mergeCells count="13">
    <mergeCell ref="T3:U3"/>
    <mergeCell ref="AA3:AE3"/>
    <mergeCell ref="AF3:AI3"/>
    <mergeCell ref="AJ3:AM3"/>
    <mergeCell ref="W3:Z3"/>
    <mergeCell ref="BH3:BK3"/>
    <mergeCell ref="BL3:BO3"/>
    <mergeCell ref="BP3:BS3"/>
    <mergeCell ref="AN3:AQ3"/>
    <mergeCell ref="AR3:AU3"/>
    <mergeCell ref="AV3:AY3"/>
    <mergeCell ref="AZ3:BC3"/>
    <mergeCell ref="BD3:BG3"/>
  </mergeCells>
  <conditionalFormatting sqref="V3:V46">
    <cfRule type="notContainsBlanks" dxfId="0" priority="1">
      <formula>LEN(TRIM(V3))&gt;0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E2051F0-C798-4D48-96AA-2AA6BCC78E98}">
          <x14:formula1>
            <xm:f>'List Kategori'!$B$4:$B$10</xm:f>
          </x14:formula1>
          <xm:sqref>C1:C1048576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D43B-AA37-4C58-806E-234FA7B32750}">
  <dimension ref="A1:AM45"/>
  <sheetViews>
    <sheetView topLeftCell="AD38" workbookViewId="0">
      <selection activeCell="AL7" sqref="AL7:AL40"/>
    </sheetView>
  </sheetViews>
  <sheetFormatPr defaultRowHeight="14.4" x14ac:dyDescent="0.3"/>
  <cols>
    <col min="1" max="2" width="20.77734375" customWidth="1"/>
    <col min="3" max="3" width="10.88671875" style="43" customWidth="1"/>
    <col min="4" max="4" width="0.6640625" customWidth="1"/>
    <col min="5" max="5" width="19" customWidth="1"/>
    <col min="6" max="6" width="23" customWidth="1"/>
    <col min="7" max="7" width="10.6640625" customWidth="1"/>
    <col min="8" max="8" width="1.109375" customWidth="1"/>
    <col min="9" max="10" width="26.6640625" style="44" customWidth="1"/>
    <col min="11" max="11" width="15.6640625" style="43" customWidth="1"/>
    <col min="12" max="12" width="1.21875" customWidth="1"/>
    <col min="13" max="15" width="23" customWidth="1"/>
    <col min="16" max="16" width="4.6640625" customWidth="1"/>
    <col min="17" max="18" width="26" customWidth="1"/>
    <col min="19" max="19" width="12.5546875" customWidth="1"/>
    <col min="20" max="20" width="3.5546875" customWidth="1"/>
    <col min="21" max="21" width="25.33203125" customWidth="1"/>
    <col min="22" max="22" width="29" customWidth="1"/>
    <col min="24" max="24" width="5.77734375" customWidth="1"/>
    <col min="25" max="25" width="27.109375" customWidth="1"/>
    <col min="26" max="26" width="23.5546875" customWidth="1"/>
    <col min="28" max="28" width="4.5546875" customWidth="1"/>
    <col min="29" max="29" width="26.77734375" customWidth="1"/>
    <col min="30" max="30" width="28" customWidth="1"/>
    <col min="32" max="32" width="3" customWidth="1"/>
    <col min="33" max="34" width="25.77734375" customWidth="1"/>
    <col min="36" max="36" width="3.21875" customWidth="1"/>
    <col min="37" max="38" width="30.77734375" customWidth="1"/>
  </cols>
  <sheetData>
    <row r="1" spans="1:39" ht="15.6" x14ac:dyDescent="0.3">
      <c r="A1" s="42" t="s">
        <v>306</v>
      </c>
    </row>
    <row r="2" spans="1:39" ht="21" x14ac:dyDescent="0.4">
      <c r="A2" s="40" t="s">
        <v>307</v>
      </c>
    </row>
    <row r="3" spans="1:39" ht="21" x14ac:dyDescent="0.4">
      <c r="A3" s="90">
        <v>2026</v>
      </c>
    </row>
    <row r="4" spans="1:39" ht="0.6" customHeight="1" x14ac:dyDescent="0.3">
      <c r="A4" s="42"/>
    </row>
    <row r="5" spans="1:39" s="86" customFormat="1" ht="29.4" customHeight="1" thickBot="1" x14ac:dyDescent="0.4">
      <c r="A5" s="102" t="s">
        <v>308</v>
      </c>
      <c r="B5" s="102"/>
      <c r="C5" s="102"/>
      <c r="E5" s="102" t="s">
        <v>309</v>
      </c>
      <c r="F5" s="102"/>
      <c r="G5" s="102"/>
      <c r="I5" s="102" t="s">
        <v>310</v>
      </c>
      <c r="J5" s="102"/>
      <c r="K5" s="102"/>
      <c r="M5" s="102" t="s">
        <v>311</v>
      </c>
      <c r="N5" s="102"/>
      <c r="O5" s="102"/>
      <c r="Q5" s="102" t="s">
        <v>312</v>
      </c>
      <c r="R5" s="102"/>
      <c r="S5" s="102"/>
      <c r="U5" s="102" t="s">
        <v>313</v>
      </c>
      <c r="V5" s="102"/>
      <c r="W5" s="102"/>
      <c r="Y5" s="102" t="s">
        <v>314</v>
      </c>
      <c r="Z5" s="102"/>
      <c r="AA5" s="102"/>
      <c r="AC5" s="102" t="s">
        <v>270</v>
      </c>
      <c r="AD5" s="102"/>
      <c r="AE5" s="102"/>
      <c r="AG5" s="102" t="s">
        <v>315</v>
      </c>
      <c r="AH5" s="102"/>
      <c r="AI5" s="102"/>
      <c r="AK5" s="102" t="s">
        <v>316</v>
      </c>
      <c r="AL5" s="102"/>
      <c r="AM5" s="102"/>
    </row>
    <row r="6" spans="1:39" s="42" customFormat="1" ht="25.5" customHeight="1" x14ac:dyDescent="0.3">
      <c r="A6" s="87" t="s">
        <v>317</v>
      </c>
      <c r="B6" s="88" t="s">
        <v>318</v>
      </c>
      <c r="C6" s="89" t="s">
        <v>319</v>
      </c>
      <c r="E6" s="87" t="s">
        <v>317</v>
      </c>
      <c r="F6" s="88" t="s">
        <v>318</v>
      </c>
      <c r="G6" s="89" t="s">
        <v>319</v>
      </c>
      <c r="I6" s="87" t="s">
        <v>317</v>
      </c>
      <c r="J6" s="88" t="s">
        <v>318</v>
      </c>
      <c r="K6" s="89" t="s">
        <v>319</v>
      </c>
      <c r="M6" s="87" t="s">
        <v>317</v>
      </c>
      <c r="N6" s="88" t="s">
        <v>318</v>
      </c>
      <c r="O6" s="89" t="s">
        <v>319</v>
      </c>
      <c r="Q6" s="87" t="s">
        <v>317</v>
      </c>
      <c r="R6" s="88" t="s">
        <v>318</v>
      </c>
      <c r="S6" s="89" t="s">
        <v>319</v>
      </c>
      <c r="U6" s="87" t="s">
        <v>317</v>
      </c>
      <c r="V6" s="88" t="s">
        <v>318</v>
      </c>
      <c r="W6" s="89" t="s">
        <v>319</v>
      </c>
      <c r="Y6" s="87" t="s">
        <v>317</v>
      </c>
      <c r="Z6" s="88" t="s">
        <v>318</v>
      </c>
      <c r="AA6" s="89" t="s">
        <v>319</v>
      </c>
      <c r="AC6" s="87" t="s">
        <v>317</v>
      </c>
      <c r="AD6" s="88" t="s">
        <v>318</v>
      </c>
      <c r="AE6" s="89" t="s">
        <v>319</v>
      </c>
      <c r="AG6" s="87" t="s">
        <v>317</v>
      </c>
      <c r="AH6" s="88" t="s">
        <v>318</v>
      </c>
      <c r="AI6" s="89" t="s">
        <v>319</v>
      </c>
      <c r="AK6" s="87" t="s">
        <v>317</v>
      </c>
      <c r="AL6" s="88" t="s">
        <v>318</v>
      </c>
      <c r="AM6" s="89" t="s">
        <v>319</v>
      </c>
    </row>
    <row r="7" spans="1:39" ht="72" customHeight="1" x14ac:dyDescent="0.3">
      <c r="A7" s="45"/>
      <c r="B7" s="36" t="s">
        <v>320</v>
      </c>
      <c r="C7" s="46">
        <v>1</v>
      </c>
      <c r="E7" s="47"/>
      <c r="F7" s="36" t="s">
        <v>267</v>
      </c>
      <c r="G7" s="47">
        <v>3</v>
      </c>
      <c r="I7" s="48"/>
      <c r="J7" s="36" t="s">
        <v>321</v>
      </c>
      <c r="K7" s="46">
        <v>1</v>
      </c>
      <c r="M7" s="49"/>
      <c r="N7" s="36" t="s">
        <v>322</v>
      </c>
      <c r="O7" s="46">
        <v>1</v>
      </c>
      <c r="Q7" s="50"/>
      <c r="R7" s="51" t="s">
        <v>323</v>
      </c>
      <c r="S7" s="52">
        <v>1</v>
      </c>
      <c r="U7" s="53"/>
      <c r="V7" s="36" t="s">
        <v>324</v>
      </c>
      <c r="W7" s="47">
        <v>1</v>
      </c>
      <c r="Y7" s="47"/>
      <c r="Z7" s="36" t="s">
        <v>260</v>
      </c>
      <c r="AA7" s="47">
        <v>2</v>
      </c>
      <c r="AC7" s="47" t="e" vm="1">
        <v>#VALUE!</v>
      </c>
      <c r="AD7" s="36" t="s">
        <v>269</v>
      </c>
      <c r="AE7" s="47">
        <v>6</v>
      </c>
      <c r="AG7" s="54" t="e" vm="1">
        <v>#VALUE!</v>
      </c>
      <c r="AH7" s="51" t="s">
        <v>325</v>
      </c>
      <c r="AI7" s="54">
        <v>8</v>
      </c>
      <c r="AK7" s="54" t="e" vm="1">
        <v>#VALUE!</v>
      </c>
      <c r="AL7" s="51" t="s">
        <v>326</v>
      </c>
      <c r="AM7" s="54">
        <v>4</v>
      </c>
    </row>
    <row r="8" spans="1:39" ht="72" customHeight="1" x14ac:dyDescent="0.3">
      <c r="A8" s="55"/>
      <c r="B8" s="36" t="s">
        <v>327</v>
      </c>
      <c r="C8" s="46">
        <v>1</v>
      </c>
      <c r="E8" s="56"/>
      <c r="F8" s="57" t="s">
        <v>328</v>
      </c>
      <c r="G8" s="56">
        <v>3</v>
      </c>
      <c r="I8" s="49"/>
      <c r="J8" s="36" t="s">
        <v>329</v>
      </c>
      <c r="K8" s="46">
        <v>1</v>
      </c>
      <c r="M8" s="49"/>
      <c r="N8" s="36" t="s">
        <v>330</v>
      </c>
      <c r="O8" s="46">
        <v>1</v>
      </c>
      <c r="Q8" s="50"/>
      <c r="R8" s="51" t="s">
        <v>277</v>
      </c>
      <c r="S8" s="52">
        <v>2</v>
      </c>
      <c r="U8" s="47"/>
      <c r="V8" s="36" t="s">
        <v>331</v>
      </c>
      <c r="W8" s="47">
        <v>2</v>
      </c>
      <c r="Y8" s="53"/>
      <c r="Z8" s="36" t="s">
        <v>261</v>
      </c>
      <c r="AA8" s="47">
        <v>2</v>
      </c>
      <c r="AC8" s="47" t="e" vm="1">
        <v>#VALUE!</v>
      </c>
      <c r="AD8" s="36" t="s">
        <v>332</v>
      </c>
      <c r="AE8" s="47">
        <v>2</v>
      </c>
      <c r="AG8" s="54" t="e" vm="1">
        <v>#VALUE!</v>
      </c>
      <c r="AH8" s="51" t="s">
        <v>333</v>
      </c>
      <c r="AI8" s="54">
        <v>2</v>
      </c>
      <c r="AK8" s="54" t="e" vm="1">
        <v>#VALUE!</v>
      </c>
      <c r="AL8" s="51" t="s">
        <v>334</v>
      </c>
      <c r="AM8" s="54">
        <v>3</v>
      </c>
    </row>
    <row r="9" spans="1:39" ht="72" customHeight="1" x14ac:dyDescent="0.3">
      <c r="A9" s="45"/>
      <c r="B9" s="36" t="s">
        <v>335</v>
      </c>
      <c r="C9" s="46">
        <v>1</v>
      </c>
      <c r="E9" s="54"/>
      <c r="F9" s="51" t="s">
        <v>336</v>
      </c>
      <c r="G9" s="54">
        <v>8</v>
      </c>
      <c r="I9" s="48"/>
      <c r="J9" s="36" t="s">
        <v>329</v>
      </c>
      <c r="K9" s="46">
        <v>1</v>
      </c>
      <c r="M9" s="49"/>
      <c r="N9" s="36" t="s">
        <v>337</v>
      </c>
      <c r="O9" s="46">
        <v>1</v>
      </c>
      <c r="Q9" s="50"/>
      <c r="R9" s="51" t="s">
        <v>278</v>
      </c>
      <c r="S9" s="52">
        <v>1</v>
      </c>
      <c r="U9" s="47"/>
      <c r="V9" s="36" t="s">
        <v>338</v>
      </c>
      <c r="W9" s="47">
        <v>2</v>
      </c>
      <c r="Y9" s="47"/>
      <c r="Z9" s="36" t="s">
        <v>262</v>
      </c>
      <c r="AA9" s="47">
        <v>2</v>
      </c>
      <c r="AC9" s="47" t="e" vm="1">
        <v>#VALUE!</v>
      </c>
      <c r="AD9" s="36" t="s">
        <v>271</v>
      </c>
      <c r="AE9" s="47">
        <v>15</v>
      </c>
      <c r="AG9" s="54" t="e" vm="1">
        <v>#VALUE!</v>
      </c>
      <c r="AH9" s="51" t="s">
        <v>339</v>
      </c>
      <c r="AI9" s="54">
        <v>20</v>
      </c>
      <c r="AK9" s="54" t="e" vm="1">
        <v>#VALUE!</v>
      </c>
      <c r="AL9" s="51" t="s">
        <v>340</v>
      </c>
      <c r="AM9" s="54">
        <v>1</v>
      </c>
    </row>
    <row r="10" spans="1:39" ht="72" customHeight="1" x14ac:dyDescent="0.3">
      <c r="A10" s="58"/>
      <c r="B10" s="36" t="s">
        <v>341</v>
      </c>
      <c r="C10" s="46">
        <v>1</v>
      </c>
      <c r="E10" s="54"/>
      <c r="F10" s="51" t="s">
        <v>342</v>
      </c>
      <c r="G10" s="54">
        <v>4</v>
      </c>
      <c r="I10" s="48"/>
      <c r="J10" s="36" t="s">
        <v>321</v>
      </c>
      <c r="K10" s="46">
        <v>1</v>
      </c>
      <c r="M10" s="49"/>
      <c r="N10" s="36" t="s">
        <v>343</v>
      </c>
      <c r="O10" s="46">
        <v>1</v>
      </c>
      <c r="Q10" s="50"/>
      <c r="R10" s="51" t="s">
        <v>279</v>
      </c>
      <c r="S10" s="52">
        <v>2</v>
      </c>
      <c r="U10" s="47"/>
      <c r="V10" s="36" t="s">
        <v>344</v>
      </c>
      <c r="W10" s="47">
        <v>2</v>
      </c>
      <c r="Y10" s="47"/>
      <c r="Z10" s="36" t="s">
        <v>263</v>
      </c>
      <c r="AA10" s="47">
        <v>2</v>
      </c>
      <c r="AC10" s="59" t="e" vm="1">
        <v>#VALUE!</v>
      </c>
      <c r="AD10" s="36" t="s">
        <v>345</v>
      </c>
      <c r="AE10" s="47">
        <v>2</v>
      </c>
      <c r="AG10" s="54" t="e" vm="1">
        <v>#VALUE!</v>
      </c>
      <c r="AH10" s="51" t="s">
        <v>346</v>
      </c>
      <c r="AI10" s="54">
        <v>2</v>
      </c>
      <c r="AK10" s="54" t="e" vm="1">
        <v>#VALUE!</v>
      </c>
      <c r="AL10" s="51" t="s">
        <v>347</v>
      </c>
      <c r="AM10" s="54">
        <v>1</v>
      </c>
    </row>
    <row r="11" spans="1:39" ht="72" customHeight="1" x14ac:dyDescent="0.3">
      <c r="A11" s="45"/>
      <c r="B11" s="36" t="s">
        <v>348</v>
      </c>
      <c r="C11" s="46">
        <v>1</v>
      </c>
      <c r="E11" s="54"/>
      <c r="F11" s="51" t="s">
        <v>272</v>
      </c>
      <c r="G11" s="54">
        <v>6</v>
      </c>
      <c r="I11" s="48"/>
      <c r="J11" s="36" t="s">
        <v>321</v>
      </c>
      <c r="K11" s="46">
        <v>1</v>
      </c>
      <c r="M11" s="49"/>
      <c r="N11" s="36" t="s">
        <v>349</v>
      </c>
      <c r="O11" s="46">
        <v>11</v>
      </c>
      <c r="Q11" s="50"/>
      <c r="R11" s="51" t="s">
        <v>281</v>
      </c>
      <c r="S11" s="52">
        <v>3</v>
      </c>
      <c r="U11" s="47"/>
      <c r="V11" s="36" t="s">
        <v>350</v>
      </c>
      <c r="W11" s="47">
        <v>2</v>
      </c>
      <c r="Y11" s="47"/>
      <c r="Z11" s="36" t="s">
        <v>264</v>
      </c>
      <c r="AA11" s="47">
        <v>2</v>
      </c>
      <c r="AC11" s="59" t="e" vm="1">
        <v>#VALUE!</v>
      </c>
      <c r="AD11" s="36" t="s">
        <v>351</v>
      </c>
      <c r="AE11" s="47">
        <v>2</v>
      </c>
      <c r="AG11" s="54" t="e" vm="1">
        <v>#VALUE!</v>
      </c>
      <c r="AH11" s="51" t="s">
        <v>352</v>
      </c>
      <c r="AI11" s="54">
        <v>2</v>
      </c>
      <c r="AK11" s="54" t="e" vm="1">
        <v>#VALUE!</v>
      </c>
      <c r="AL11" s="51" t="s">
        <v>353</v>
      </c>
      <c r="AM11" s="54">
        <v>2</v>
      </c>
    </row>
    <row r="12" spans="1:39" ht="72" customHeight="1" x14ac:dyDescent="0.3">
      <c r="A12" s="45"/>
      <c r="B12" s="36" t="s">
        <v>354</v>
      </c>
      <c r="C12" s="46">
        <v>1</v>
      </c>
      <c r="E12" s="26"/>
      <c r="F12" s="51" t="s">
        <v>355</v>
      </c>
      <c r="G12" s="54">
        <v>2</v>
      </c>
      <c r="I12" s="48"/>
      <c r="J12" s="36" t="s">
        <v>321</v>
      </c>
      <c r="K12" s="46">
        <v>4</v>
      </c>
      <c r="M12" s="49"/>
      <c r="N12" s="36" t="s">
        <v>356</v>
      </c>
      <c r="O12" s="46">
        <v>1</v>
      </c>
      <c r="Q12" s="50"/>
      <c r="R12" s="51" t="s">
        <v>282</v>
      </c>
      <c r="S12" s="52">
        <v>2</v>
      </c>
      <c r="U12" s="47"/>
      <c r="V12" s="36" t="s">
        <v>357</v>
      </c>
      <c r="W12" s="47">
        <v>1</v>
      </c>
      <c r="Y12" s="47"/>
      <c r="Z12" s="36" t="s">
        <v>265</v>
      </c>
      <c r="AA12" s="47">
        <v>2</v>
      </c>
      <c r="AC12" s="59" t="e" vm="1">
        <v>#VALUE!</v>
      </c>
      <c r="AD12" s="36" t="s">
        <v>358</v>
      </c>
      <c r="AE12" s="47">
        <v>2</v>
      </c>
      <c r="AG12" s="54" t="e" vm="1">
        <v>#VALUE!</v>
      </c>
      <c r="AH12" s="51" t="s">
        <v>359</v>
      </c>
      <c r="AI12" s="54" t="s">
        <v>360</v>
      </c>
      <c r="AK12" s="54" t="e" vm="1">
        <v>#VALUE!</v>
      </c>
      <c r="AL12" s="51" t="s">
        <v>361</v>
      </c>
      <c r="AM12" s="54">
        <v>1</v>
      </c>
    </row>
    <row r="13" spans="1:39" ht="72" customHeight="1" x14ac:dyDescent="0.3">
      <c r="A13" s="45"/>
      <c r="B13" s="36" t="s">
        <v>362</v>
      </c>
      <c r="C13" s="46">
        <v>1</v>
      </c>
      <c r="E13" s="49"/>
      <c r="F13" s="51" t="s">
        <v>363</v>
      </c>
      <c r="G13" s="46">
        <v>3</v>
      </c>
      <c r="I13" s="48"/>
      <c r="J13" s="36" t="s">
        <v>364</v>
      </c>
      <c r="K13" s="46">
        <v>4</v>
      </c>
      <c r="M13" s="49"/>
      <c r="N13" s="36" t="s">
        <v>365</v>
      </c>
      <c r="O13" s="46">
        <v>6</v>
      </c>
      <c r="Q13" s="50"/>
      <c r="R13" s="51" t="s">
        <v>366</v>
      </c>
      <c r="S13" s="52">
        <v>1</v>
      </c>
      <c r="U13" s="47"/>
      <c r="V13" s="36" t="s">
        <v>367</v>
      </c>
      <c r="W13" s="47">
        <v>2</v>
      </c>
      <c r="Y13" s="56"/>
      <c r="Z13" s="57" t="s">
        <v>266</v>
      </c>
      <c r="AA13" s="56">
        <v>1</v>
      </c>
      <c r="AC13" s="60" t="e" vm="1">
        <v>#VALUE!</v>
      </c>
      <c r="AD13" s="57" t="s">
        <v>368</v>
      </c>
      <c r="AE13" s="56">
        <v>5</v>
      </c>
      <c r="AG13" s="54" t="e" vm="1">
        <v>#VALUE!</v>
      </c>
      <c r="AH13" s="51" t="s">
        <v>369</v>
      </c>
      <c r="AI13" s="54">
        <v>1</v>
      </c>
      <c r="AK13" s="54" t="e" vm="1">
        <v>#VALUE!</v>
      </c>
      <c r="AL13" s="51" t="s">
        <v>370</v>
      </c>
      <c r="AM13" s="54">
        <v>1</v>
      </c>
    </row>
    <row r="14" spans="1:39" ht="72" customHeight="1" x14ac:dyDescent="0.3">
      <c r="A14" s="55"/>
      <c r="B14" s="57" t="s">
        <v>371</v>
      </c>
      <c r="C14" s="46">
        <v>1</v>
      </c>
      <c r="E14" s="49"/>
      <c r="F14" s="51" t="s">
        <v>372</v>
      </c>
      <c r="G14" s="46">
        <v>2</v>
      </c>
      <c r="I14" s="53"/>
      <c r="J14" s="61" t="s">
        <v>373</v>
      </c>
      <c r="K14" s="46">
        <v>2</v>
      </c>
      <c r="M14" s="49"/>
      <c r="N14" s="36" t="s">
        <v>374</v>
      </c>
      <c r="O14" s="46">
        <v>1</v>
      </c>
      <c r="Q14" s="50"/>
      <c r="R14" s="51" t="s">
        <v>375</v>
      </c>
      <c r="S14" s="52">
        <v>2</v>
      </c>
      <c r="U14" s="47"/>
      <c r="V14" s="36" t="s">
        <v>376</v>
      </c>
      <c r="W14" s="47">
        <v>2</v>
      </c>
      <c r="Y14" s="54"/>
      <c r="Z14" s="51" t="s">
        <v>377</v>
      </c>
      <c r="AA14" s="54">
        <v>1</v>
      </c>
      <c r="AC14" s="62" t="e" vm="1">
        <v>#VALUE!</v>
      </c>
      <c r="AD14" s="51" t="s">
        <v>378</v>
      </c>
      <c r="AE14" s="54">
        <v>2</v>
      </c>
      <c r="AG14" s="54" t="e" vm="1">
        <v>#VALUE!</v>
      </c>
      <c r="AH14" s="51" t="s">
        <v>379</v>
      </c>
      <c r="AI14" s="54">
        <v>1</v>
      </c>
      <c r="AK14" s="54" t="e" vm="1">
        <v>#VALUE!</v>
      </c>
      <c r="AL14" s="51" t="s">
        <v>380</v>
      </c>
      <c r="AM14" s="54">
        <v>1</v>
      </c>
    </row>
    <row r="15" spans="1:39" ht="72" customHeight="1" x14ac:dyDescent="0.3">
      <c r="A15" s="63"/>
      <c r="B15" s="51" t="s">
        <v>381</v>
      </c>
      <c r="C15" s="46">
        <v>1</v>
      </c>
      <c r="E15" s="49"/>
      <c r="F15" s="51" t="s">
        <v>382</v>
      </c>
      <c r="G15" s="46">
        <v>3</v>
      </c>
      <c r="I15" s="47"/>
      <c r="J15" s="36" t="s">
        <v>383</v>
      </c>
      <c r="K15" s="46">
        <v>3</v>
      </c>
      <c r="M15" s="49"/>
      <c r="N15" s="36" t="s">
        <v>384</v>
      </c>
      <c r="O15" s="46">
        <v>4</v>
      </c>
      <c r="Q15" s="50"/>
      <c r="R15" s="51" t="s">
        <v>284</v>
      </c>
      <c r="S15" s="52">
        <v>4</v>
      </c>
      <c r="U15" s="47"/>
      <c r="V15" s="36" t="s">
        <v>385</v>
      </c>
      <c r="W15" s="47">
        <v>2</v>
      </c>
      <c r="Y15" s="64"/>
      <c r="Z15" s="65"/>
      <c r="AA15" s="64"/>
      <c r="AC15" s="62"/>
      <c r="AD15" s="51" t="s">
        <v>386</v>
      </c>
      <c r="AE15" s="54">
        <v>2</v>
      </c>
      <c r="AG15" s="38" t="e" vm="1">
        <v>#VALUE!</v>
      </c>
      <c r="AH15" s="51" t="s">
        <v>387</v>
      </c>
      <c r="AI15" s="54">
        <v>2</v>
      </c>
      <c r="AK15" s="38" t="e" vm="1">
        <v>#VALUE!</v>
      </c>
      <c r="AL15" s="51" t="s">
        <v>388</v>
      </c>
      <c r="AM15" s="54">
        <v>1</v>
      </c>
    </row>
    <row r="16" spans="1:39" ht="72" customHeight="1" x14ac:dyDescent="0.3">
      <c r="A16" s="66"/>
      <c r="B16" s="51" t="s">
        <v>389</v>
      </c>
      <c r="C16" s="46">
        <v>2</v>
      </c>
      <c r="E16" s="49"/>
      <c r="F16" s="51" t="s">
        <v>390</v>
      </c>
      <c r="G16" s="46">
        <v>1</v>
      </c>
      <c r="I16" s="47"/>
      <c r="J16" s="36" t="s">
        <v>391</v>
      </c>
      <c r="K16" s="46">
        <v>1</v>
      </c>
      <c r="M16" s="49"/>
      <c r="N16" s="36" t="s">
        <v>392</v>
      </c>
      <c r="O16" s="46">
        <v>6</v>
      </c>
      <c r="Q16" s="50"/>
      <c r="R16" s="51" t="s">
        <v>285</v>
      </c>
      <c r="S16" s="52">
        <v>1</v>
      </c>
      <c r="U16" s="47"/>
      <c r="V16" s="36" t="s">
        <v>393</v>
      </c>
      <c r="W16" s="47">
        <v>1</v>
      </c>
      <c r="Y16" s="64"/>
      <c r="Z16" s="65"/>
      <c r="AA16" s="64"/>
      <c r="AC16" s="62" t="e" vm="1">
        <v>#VALUE!</v>
      </c>
      <c r="AD16" s="51" t="s">
        <v>394</v>
      </c>
      <c r="AE16" s="54">
        <v>6</v>
      </c>
      <c r="AG16" s="38"/>
      <c r="AH16" s="51"/>
      <c r="AI16" s="54"/>
      <c r="AK16" s="38" t="e" vm="1">
        <v>#VALUE!</v>
      </c>
      <c r="AL16" s="51" t="s">
        <v>395</v>
      </c>
      <c r="AM16" s="54">
        <v>1</v>
      </c>
    </row>
    <row r="17" spans="1:39" ht="72" customHeight="1" x14ac:dyDescent="0.3">
      <c r="A17" s="67"/>
      <c r="B17" s="26"/>
      <c r="C17" s="46"/>
      <c r="E17" s="49"/>
      <c r="F17" s="51" t="s">
        <v>396</v>
      </c>
      <c r="G17" s="46">
        <v>1</v>
      </c>
      <c r="I17" s="48"/>
      <c r="J17" s="62"/>
      <c r="K17" s="46"/>
      <c r="M17" s="49"/>
      <c r="N17" s="36" t="s">
        <v>397</v>
      </c>
      <c r="O17" s="46">
        <v>6</v>
      </c>
      <c r="Q17" s="50"/>
      <c r="R17" s="51" t="s">
        <v>398</v>
      </c>
      <c r="S17" s="52">
        <v>1</v>
      </c>
      <c r="U17" s="47"/>
      <c r="V17" s="36" t="s">
        <v>399</v>
      </c>
      <c r="W17" s="47">
        <v>1</v>
      </c>
      <c r="Y17" s="64"/>
      <c r="Z17" s="65"/>
      <c r="AA17" s="64"/>
      <c r="AC17" s="38" t="e" vm="1">
        <v>#VALUE!</v>
      </c>
      <c r="AD17" s="51" t="s">
        <v>400</v>
      </c>
      <c r="AE17" s="54">
        <v>2</v>
      </c>
      <c r="AG17" s="38"/>
      <c r="AH17" s="51"/>
      <c r="AI17" s="54"/>
      <c r="AK17" s="38" t="e" vm="1">
        <v>#VALUE!</v>
      </c>
      <c r="AL17" s="51" t="s">
        <v>401</v>
      </c>
      <c r="AM17" s="54">
        <v>1</v>
      </c>
    </row>
    <row r="18" spans="1:39" ht="72" customHeight="1" x14ac:dyDescent="0.3">
      <c r="A18" s="67"/>
      <c r="B18" s="26"/>
      <c r="C18" s="46"/>
      <c r="E18" s="49"/>
      <c r="F18" s="51" t="s">
        <v>402</v>
      </c>
      <c r="G18" s="46">
        <v>1</v>
      </c>
      <c r="I18" s="48"/>
      <c r="J18" s="62"/>
      <c r="K18" s="46"/>
      <c r="M18" s="49"/>
      <c r="N18" s="36" t="s">
        <v>403</v>
      </c>
      <c r="O18" s="46">
        <v>3</v>
      </c>
      <c r="Q18" s="68"/>
      <c r="R18" s="51" t="s">
        <v>404</v>
      </c>
      <c r="S18" s="52">
        <v>1</v>
      </c>
      <c r="U18" s="47"/>
      <c r="V18" s="36" t="s">
        <v>405</v>
      </c>
      <c r="W18" s="47">
        <v>1</v>
      </c>
      <c r="Y18" s="69"/>
      <c r="Z18" s="65"/>
      <c r="AA18" s="64"/>
      <c r="AC18" s="38" t="e" vm="1">
        <v>#VALUE!</v>
      </c>
      <c r="AD18" s="51" t="s">
        <v>406</v>
      </c>
      <c r="AE18" s="54">
        <v>2</v>
      </c>
      <c r="AG18" s="38"/>
      <c r="AH18" s="51"/>
      <c r="AI18" s="54"/>
      <c r="AK18" s="38" t="e" vm="1">
        <v>#VALUE!</v>
      </c>
      <c r="AL18" s="51" t="s">
        <v>407</v>
      </c>
      <c r="AM18" s="54">
        <v>1</v>
      </c>
    </row>
    <row r="19" spans="1:39" ht="72" customHeight="1" x14ac:dyDescent="0.3">
      <c r="A19" s="67"/>
      <c r="B19" s="26"/>
      <c r="C19" s="46"/>
      <c r="E19" s="49"/>
      <c r="F19" s="51" t="s">
        <v>408</v>
      </c>
      <c r="G19" s="46">
        <v>4</v>
      </c>
      <c r="I19" s="48"/>
      <c r="J19" s="62"/>
      <c r="K19" s="46"/>
      <c r="M19" s="49"/>
      <c r="N19" s="36" t="s">
        <v>409</v>
      </c>
      <c r="O19" s="46">
        <v>1</v>
      </c>
      <c r="Q19" s="68"/>
      <c r="R19" s="51" t="s">
        <v>410</v>
      </c>
      <c r="S19" s="52">
        <v>2</v>
      </c>
      <c r="U19" s="47"/>
      <c r="V19" s="36" t="s">
        <v>411</v>
      </c>
      <c r="W19" s="47">
        <v>2</v>
      </c>
      <c r="Y19" s="69"/>
      <c r="Z19" s="65"/>
      <c r="AA19" s="64"/>
      <c r="AC19" s="38"/>
      <c r="AD19" s="51"/>
      <c r="AE19" s="54"/>
      <c r="AG19" s="38"/>
      <c r="AH19" s="51"/>
      <c r="AI19" s="54"/>
      <c r="AK19" s="38" t="e" vm="1">
        <v>#VALUE!</v>
      </c>
      <c r="AL19" s="51" t="s">
        <v>412</v>
      </c>
      <c r="AM19" s="54">
        <v>1</v>
      </c>
    </row>
    <row r="20" spans="1:39" ht="72" customHeight="1" x14ac:dyDescent="0.3">
      <c r="A20" s="67"/>
      <c r="B20" s="26"/>
      <c r="C20" s="46"/>
      <c r="E20" s="49"/>
      <c r="F20" s="51" t="s">
        <v>413</v>
      </c>
      <c r="G20" s="46">
        <v>1</v>
      </c>
      <c r="I20" s="48"/>
      <c r="J20" s="62"/>
      <c r="K20" s="46"/>
      <c r="M20" s="49"/>
      <c r="N20" s="38"/>
      <c r="O20" s="46"/>
      <c r="Q20" s="70"/>
      <c r="R20" s="51" t="s">
        <v>414</v>
      </c>
      <c r="S20" s="52">
        <v>1</v>
      </c>
      <c r="U20" s="47"/>
      <c r="V20" s="36" t="s">
        <v>415</v>
      </c>
      <c r="W20" s="47">
        <v>2</v>
      </c>
      <c r="Y20" s="66"/>
      <c r="Z20" s="65"/>
      <c r="AA20" s="64"/>
      <c r="AC20" s="38"/>
      <c r="AD20" s="51"/>
      <c r="AE20" s="54"/>
      <c r="AG20" s="38"/>
      <c r="AH20" s="51"/>
      <c r="AI20" s="54"/>
      <c r="AK20" s="38" t="e" vm="1">
        <v>#VALUE!</v>
      </c>
      <c r="AL20" s="51" t="s">
        <v>416</v>
      </c>
      <c r="AM20" s="54">
        <v>1</v>
      </c>
    </row>
    <row r="21" spans="1:39" ht="72" customHeight="1" x14ac:dyDescent="0.3">
      <c r="A21" s="67"/>
      <c r="B21" s="26"/>
      <c r="C21" s="46"/>
      <c r="E21" s="49"/>
      <c r="F21" s="51" t="s">
        <v>417</v>
      </c>
      <c r="G21" s="46">
        <v>6</v>
      </c>
      <c r="I21" s="48"/>
      <c r="J21" s="62"/>
      <c r="K21" s="46"/>
      <c r="M21" s="49"/>
      <c r="N21" s="38"/>
      <c r="O21" s="46"/>
      <c r="Q21" s="70"/>
      <c r="R21" s="51" t="s">
        <v>418</v>
      </c>
      <c r="S21" s="52">
        <v>1</v>
      </c>
      <c r="U21" s="47"/>
      <c r="V21" s="36" t="s">
        <v>419</v>
      </c>
      <c r="W21" s="47">
        <v>2</v>
      </c>
      <c r="Y21" s="66"/>
      <c r="Z21" s="65"/>
      <c r="AA21" s="64"/>
      <c r="AC21" s="38"/>
      <c r="AD21" s="51"/>
      <c r="AE21" s="54"/>
      <c r="AG21" s="38"/>
      <c r="AH21" s="51"/>
      <c r="AI21" s="54"/>
      <c r="AK21" s="38" t="e" vm="1">
        <v>#VALUE!</v>
      </c>
      <c r="AL21" s="51" t="s">
        <v>420</v>
      </c>
      <c r="AM21" s="54">
        <v>2</v>
      </c>
    </row>
    <row r="22" spans="1:39" ht="72" customHeight="1" thickBot="1" x14ac:dyDescent="0.35">
      <c r="A22" s="71"/>
      <c r="B22" s="72"/>
      <c r="C22" s="73"/>
      <c r="E22" s="74"/>
      <c r="F22" s="75" t="s">
        <v>421</v>
      </c>
      <c r="G22" s="76"/>
      <c r="I22" s="77"/>
      <c r="J22" s="78"/>
      <c r="K22" s="73"/>
      <c r="M22" s="79"/>
      <c r="N22" s="80"/>
      <c r="O22" s="73"/>
      <c r="Q22" s="70"/>
      <c r="R22" s="51" t="s">
        <v>422</v>
      </c>
      <c r="S22" s="52">
        <v>1</v>
      </c>
      <c r="U22" s="47"/>
      <c r="V22" s="36" t="s">
        <v>423</v>
      </c>
      <c r="W22" s="47">
        <v>3</v>
      </c>
      <c r="Y22" s="66"/>
      <c r="Z22" s="65"/>
      <c r="AA22" s="64"/>
      <c r="AC22" s="38"/>
      <c r="AD22" s="51"/>
      <c r="AE22" s="54"/>
      <c r="AG22" s="38"/>
      <c r="AH22" s="51"/>
      <c r="AI22" s="54"/>
      <c r="AK22" s="38" t="e" vm="1">
        <v>#VALUE!</v>
      </c>
      <c r="AL22" s="51" t="s">
        <v>424</v>
      </c>
      <c r="AM22" s="54">
        <v>1</v>
      </c>
    </row>
    <row r="23" spans="1:39" ht="72" customHeight="1" x14ac:dyDescent="0.3">
      <c r="E23" s="81"/>
      <c r="F23" s="82" t="s">
        <v>425</v>
      </c>
      <c r="G23" s="83">
        <v>4</v>
      </c>
      <c r="M23" s="43"/>
      <c r="N23" s="43"/>
      <c r="O23" s="43"/>
      <c r="Q23" s="70"/>
      <c r="R23" s="51" t="s">
        <v>426</v>
      </c>
      <c r="S23" s="52">
        <v>2</v>
      </c>
      <c r="U23" s="47"/>
      <c r="V23" s="36" t="s">
        <v>427</v>
      </c>
      <c r="W23" s="47">
        <v>2</v>
      </c>
      <c r="Y23" s="66"/>
      <c r="Z23" s="65"/>
      <c r="AA23" s="64"/>
      <c r="AC23" s="38"/>
      <c r="AD23" s="51"/>
      <c r="AE23" s="54"/>
      <c r="AG23" s="38"/>
      <c r="AH23" s="51"/>
      <c r="AI23" s="54"/>
      <c r="AK23" s="38" t="e" vm="1">
        <v>#VALUE!</v>
      </c>
      <c r="AL23" s="51" t="s">
        <v>428</v>
      </c>
      <c r="AM23" s="54">
        <v>1</v>
      </c>
    </row>
    <row r="24" spans="1:39" ht="72" customHeight="1" thickBot="1" x14ac:dyDescent="0.35">
      <c r="E24" s="74"/>
      <c r="F24" s="75" t="s">
        <v>429</v>
      </c>
      <c r="G24" s="76">
        <v>1</v>
      </c>
      <c r="M24" s="43"/>
      <c r="N24" s="43"/>
      <c r="O24" s="43"/>
      <c r="Q24" s="79"/>
      <c r="R24" s="84" t="s">
        <v>430</v>
      </c>
      <c r="S24" s="85">
        <v>1</v>
      </c>
      <c r="U24" s="47"/>
      <c r="V24" s="36" t="s">
        <v>431</v>
      </c>
      <c r="W24" s="47">
        <v>1</v>
      </c>
      <c r="AC24" s="38"/>
      <c r="AD24" s="51"/>
      <c r="AE24" s="54"/>
      <c r="AG24" s="38"/>
      <c r="AH24" s="51"/>
      <c r="AI24" s="54"/>
      <c r="AK24" s="38" t="e" vm="1">
        <v>#VALUE!</v>
      </c>
      <c r="AL24" s="51" t="s">
        <v>432</v>
      </c>
      <c r="AM24" s="54">
        <v>1</v>
      </c>
    </row>
    <row r="25" spans="1:39" ht="72" customHeight="1" x14ac:dyDescent="0.3">
      <c r="E25" s="81"/>
      <c r="F25" s="82" t="s">
        <v>433</v>
      </c>
      <c r="G25" s="83">
        <v>1</v>
      </c>
      <c r="M25" s="43"/>
      <c r="N25" s="43"/>
      <c r="O25" s="43"/>
      <c r="U25" s="47"/>
      <c r="V25" s="36" t="s">
        <v>434</v>
      </c>
      <c r="W25" s="47">
        <v>2</v>
      </c>
      <c r="AC25" s="38"/>
      <c r="AD25" s="51"/>
      <c r="AE25" s="54"/>
      <c r="AG25" s="38"/>
      <c r="AH25" s="51"/>
      <c r="AI25" s="54"/>
      <c r="AK25" s="38" t="e" vm="1">
        <v>#VALUE!</v>
      </c>
      <c r="AL25" s="51" t="s">
        <v>435</v>
      </c>
      <c r="AM25" s="54">
        <v>1</v>
      </c>
    </row>
    <row r="26" spans="1:39" ht="72" customHeight="1" thickBot="1" x14ac:dyDescent="0.35">
      <c r="E26" s="79"/>
      <c r="F26" s="84" t="s">
        <v>436</v>
      </c>
      <c r="G26" s="73">
        <v>1</v>
      </c>
      <c r="M26" s="43"/>
      <c r="N26" s="43"/>
      <c r="O26" s="43"/>
      <c r="U26" s="47"/>
      <c r="V26" s="36" t="s">
        <v>437</v>
      </c>
      <c r="W26" s="47">
        <v>2</v>
      </c>
      <c r="AC26" s="38"/>
      <c r="AD26" s="51"/>
      <c r="AE26" s="54"/>
      <c r="AG26" s="38"/>
      <c r="AH26" s="51"/>
      <c r="AI26" s="54"/>
      <c r="AK26" s="38" t="e" vm="1">
        <v>#VALUE!</v>
      </c>
      <c r="AL26" s="51" t="s">
        <v>438</v>
      </c>
      <c r="AM26" s="54">
        <v>1</v>
      </c>
    </row>
    <row r="27" spans="1:39" ht="72" customHeight="1" x14ac:dyDescent="0.3">
      <c r="E27" s="43"/>
      <c r="F27" s="43"/>
      <c r="G27" s="43"/>
      <c r="M27" s="43"/>
      <c r="N27" s="43"/>
      <c r="O27" s="43"/>
      <c r="U27" s="47"/>
      <c r="V27" s="36" t="s">
        <v>439</v>
      </c>
      <c r="W27" s="47">
        <v>2</v>
      </c>
      <c r="AC27" s="38"/>
      <c r="AD27" s="51"/>
      <c r="AE27" s="54"/>
      <c r="AG27" s="38"/>
      <c r="AH27" s="51"/>
      <c r="AI27" s="54"/>
      <c r="AK27" s="38" t="e" vm="1">
        <v>#VALUE!</v>
      </c>
      <c r="AL27" s="51" t="s">
        <v>440</v>
      </c>
      <c r="AM27" s="54">
        <v>2</v>
      </c>
    </row>
    <row r="28" spans="1:39" ht="72" customHeight="1" x14ac:dyDescent="0.3">
      <c r="E28" s="43"/>
      <c r="F28" s="43"/>
      <c r="G28" s="43"/>
      <c r="M28" s="43"/>
      <c r="N28" s="43"/>
      <c r="O28" s="43"/>
      <c r="U28" s="56"/>
      <c r="V28" s="57" t="s">
        <v>441</v>
      </c>
      <c r="W28" s="56">
        <v>1</v>
      </c>
      <c r="AC28" s="38"/>
      <c r="AD28" s="51"/>
      <c r="AE28" s="54"/>
      <c r="AG28" s="38"/>
      <c r="AH28" s="51"/>
      <c r="AI28" s="54"/>
      <c r="AK28" s="38" t="e" vm="1">
        <v>#VALUE!</v>
      </c>
      <c r="AL28" s="51" t="s">
        <v>442</v>
      </c>
      <c r="AM28" s="54">
        <v>1</v>
      </c>
    </row>
    <row r="29" spans="1:39" ht="72" customHeight="1" x14ac:dyDescent="0.3">
      <c r="E29" s="43"/>
      <c r="F29" s="43"/>
      <c r="G29" s="43"/>
      <c r="M29" s="43"/>
      <c r="N29" s="43"/>
      <c r="O29" s="43"/>
      <c r="U29" s="26"/>
      <c r="V29" s="51" t="s">
        <v>443</v>
      </c>
      <c r="W29" s="54">
        <v>1</v>
      </c>
      <c r="AC29" s="38"/>
      <c r="AD29" s="51"/>
      <c r="AE29" s="54"/>
      <c r="AG29" s="38"/>
      <c r="AH29" s="51"/>
      <c r="AI29" s="54"/>
      <c r="AK29" s="38" t="e" vm="1">
        <v>#VALUE!</v>
      </c>
      <c r="AL29" s="51" t="s">
        <v>444</v>
      </c>
      <c r="AM29" s="54">
        <v>1</v>
      </c>
    </row>
    <row r="30" spans="1:39" ht="72" customHeight="1" x14ac:dyDescent="0.3">
      <c r="E30" s="43"/>
      <c r="F30" s="43"/>
      <c r="G30" s="43"/>
      <c r="AC30" s="38"/>
      <c r="AD30" s="51"/>
      <c r="AE30" s="54"/>
      <c r="AG30" s="38"/>
      <c r="AH30" s="51"/>
      <c r="AI30" s="54"/>
      <c r="AK30" s="38" t="e" vm="1">
        <v>#VALUE!</v>
      </c>
      <c r="AL30" s="51" t="s">
        <v>445</v>
      </c>
      <c r="AM30" s="54">
        <v>2</v>
      </c>
    </row>
    <row r="31" spans="1:39" ht="72" customHeight="1" x14ac:dyDescent="0.3">
      <c r="E31" s="43"/>
      <c r="F31" s="43"/>
      <c r="G31" s="43"/>
      <c r="AC31" s="38"/>
      <c r="AD31" s="51"/>
      <c r="AE31" s="54"/>
      <c r="AG31" s="38"/>
      <c r="AH31" s="51"/>
      <c r="AI31" s="54"/>
      <c r="AK31" s="38" t="e" vm="1">
        <v>#VALUE!</v>
      </c>
      <c r="AL31" s="51" t="s">
        <v>446</v>
      </c>
      <c r="AM31" s="54">
        <v>1</v>
      </c>
    </row>
    <row r="32" spans="1:39" ht="72" customHeight="1" x14ac:dyDescent="0.3">
      <c r="E32" s="43"/>
      <c r="F32" s="43"/>
      <c r="G32" s="43"/>
      <c r="AK32" s="38"/>
      <c r="AL32" s="51" t="s">
        <v>447</v>
      </c>
      <c r="AM32" s="54">
        <v>2</v>
      </c>
    </row>
    <row r="33" spans="5:39" ht="72" customHeight="1" x14ac:dyDescent="0.3">
      <c r="E33" s="43"/>
      <c r="F33" s="43"/>
      <c r="G33" s="43"/>
      <c r="AK33" s="38" t="e" vm="1">
        <v>#VALUE!</v>
      </c>
      <c r="AL33" s="51" t="s">
        <v>448</v>
      </c>
      <c r="AM33" s="54">
        <v>1</v>
      </c>
    </row>
    <row r="34" spans="5:39" ht="72" customHeight="1" x14ac:dyDescent="0.3">
      <c r="E34" s="43"/>
      <c r="F34" s="43"/>
      <c r="G34" s="43"/>
      <c r="AK34" s="38" t="e" vm="1">
        <v>#VALUE!</v>
      </c>
      <c r="AL34" s="51" t="s">
        <v>449</v>
      </c>
      <c r="AM34" s="54">
        <v>6</v>
      </c>
    </row>
    <row r="35" spans="5:39" ht="72" customHeight="1" x14ac:dyDescent="0.3">
      <c r="E35" s="43"/>
      <c r="F35" s="43"/>
      <c r="G35" s="43"/>
      <c r="AK35" s="38" t="e" vm="1">
        <v>#VALUE!</v>
      </c>
      <c r="AL35" s="51" t="s">
        <v>450</v>
      </c>
      <c r="AM35" s="54">
        <v>1</v>
      </c>
    </row>
    <row r="36" spans="5:39" ht="72" customHeight="1" x14ac:dyDescent="0.3">
      <c r="E36" s="43"/>
      <c r="F36" s="43"/>
      <c r="G36" s="43"/>
      <c r="AK36" s="38" t="e" vm="1">
        <v>#VALUE!</v>
      </c>
      <c r="AL36" s="51" t="s">
        <v>451</v>
      </c>
      <c r="AM36" s="54">
        <v>1</v>
      </c>
    </row>
    <row r="37" spans="5:39" ht="72" customHeight="1" x14ac:dyDescent="0.3">
      <c r="E37" s="43"/>
      <c r="F37" s="43"/>
      <c r="G37" s="43"/>
      <c r="AK37" s="38" t="e" vm="1">
        <v>#VALUE!</v>
      </c>
      <c r="AL37" s="51" t="s">
        <v>452</v>
      </c>
      <c r="AM37" s="54">
        <v>1</v>
      </c>
    </row>
    <row r="38" spans="5:39" ht="72" customHeight="1" x14ac:dyDescent="0.3">
      <c r="E38" s="43"/>
      <c r="F38" s="43"/>
      <c r="G38" s="43"/>
      <c r="AK38" s="38" t="e" vm="1">
        <v>#VALUE!</v>
      </c>
      <c r="AL38" s="51" t="s">
        <v>453</v>
      </c>
      <c r="AM38" s="54">
        <v>1</v>
      </c>
    </row>
    <row r="39" spans="5:39" ht="72" customHeight="1" x14ac:dyDescent="0.3">
      <c r="AK39" s="38" t="e" vm="1">
        <v>#VALUE!</v>
      </c>
      <c r="AL39" s="51" t="s">
        <v>454</v>
      </c>
      <c r="AM39" s="54">
        <v>1</v>
      </c>
    </row>
    <row r="40" spans="5:39" ht="72" customHeight="1" x14ac:dyDescent="0.3">
      <c r="AK40" s="38" t="e" vm="1">
        <v>#VALUE!</v>
      </c>
      <c r="AL40" s="51" t="s">
        <v>455</v>
      </c>
      <c r="AM40" s="54">
        <v>1</v>
      </c>
    </row>
    <row r="41" spans="5:39" ht="72" customHeight="1" x14ac:dyDescent="0.3"/>
    <row r="42" spans="5:39" ht="72" customHeight="1" x14ac:dyDescent="0.3"/>
    <row r="43" spans="5:39" ht="72" customHeight="1" x14ac:dyDescent="0.3"/>
    <row r="44" spans="5:39" ht="72" customHeight="1" x14ac:dyDescent="0.3"/>
    <row r="45" spans="5:39" ht="72" customHeight="1" x14ac:dyDescent="0.3"/>
  </sheetData>
  <mergeCells count="10">
    <mergeCell ref="Y5:AA5"/>
    <mergeCell ref="AC5:AE5"/>
    <mergeCell ref="AG5:AI5"/>
    <mergeCell ref="AK5:AM5"/>
    <mergeCell ref="A5:C5"/>
    <mergeCell ref="E5:G5"/>
    <mergeCell ref="I5:K5"/>
    <mergeCell ref="M5:O5"/>
    <mergeCell ref="Q5:S5"/>
    <mergeCell ref="U5:W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EE287-08C2-4E81-A89A-2ACE9AB01E75}">
  <dimension ref="B4:B9"/>
  <sheetViews>
    <sheetView workbookViewId="0">
      <selection activeCell="E18" sqref="E18"/>
    </sheetView>
  </sheetViews>
  <sheetFormatPr defaultRowHeight="14.4" x14ac:dyDescent="0.3"/>
  <sheetData>
    <row r="4" spans="2:2" ht="18" x14ac:dyDescent="0.35">
      <c r="B4" s="6" t="s">
        <v>65</v>
      </c>
    </row>
    <row r="5" spans="2:2" ht="18" x14ac:dyDescent="0.35">
      <c r="B5" s="6" t="s">
        <v>67</v>
      </c>
    </row>
    <row r="6" spans="2:2" ht="18" x14ac:dyDescent="0.35">
      <c r="B6" s="6" t="s">
        <v>69</v>
      </c>
    </row>
    <row r="7" spans="2:2" ht="18" x14ac:dyDescent="0.35">
      <c r="B7" s="6" t="s">
        <v>73</v>
      </c>
    </row>
    <row r="8" spans="2:2" ht="18" x14ac:dyDescent="0.35">
      <c r="B8" s="6" t="s">
        <v>71</v>
      </c>
    </row>
    <row r="9" spans="2:2" ht="18" x14ac:dyDescent="0.35">
      <c r="B9" s="6"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FLOW</vt:lpstr>
      <vt:lpstr>NOTE</vt:lpstr>
      <vt:lpstr>Metode</vt:lpstr>
      <vt:lpstr>Chart of Account</vt:lpstr>
      <vt:lpstr>A0PS ASET MANAGEMENT</vt:lpstr>
      <vt:lpstr>Sheet1</vt:lpstr>
      <vt:lpstr>List Kategori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CA-TSHS</dc:creator>
  <cp:lastModifiedBy>lenovo cxid</cp:lastModifiedBy>
  <dcterms:created xsi:type="dcterms:W3CDTF">2025-05-17T06:10:56Z</dcterms:created>
  <dcterms:modified xsi:type="dcterms:W3CDTF">2026-05-09T07:17:52Z</dcterms:modified>
</cp:coreProperties>
</file>